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-workspace\field-force\excel\"/>
    </mc:Choice>
  </mc:AlternateContent>
  <xr:revisionPtr revIDLastSave="0" documentId="13_ncr:1_{4A7CD1BE-DC22-4794-85F3-B2CDEEAC58B6}" xr6:coauthVersionLast="47" xr6:coauthVersionMax="47" xr10:uidLastSave="{00000000-0000-0000-0000-000000000000}"/>
  <bookViews>
    <workbookView xWindow="1116" yWindow="1116" windowWidth="17280" windowHeight="8880" activeTab="1" xr2:uid="{00000000-000D-0000-FFFF-FFFF00000000}"/>
  </bookViews>
  <sheets>
    <sheet name="Read me" sheetId="1" r:id="rId1"/>
    <sheet name="Inputs" sheetId="2" r:id="rId2"/>
    <sheet name="Sizing" sheetId="3" r:id="rId3"/>
    <sheet name="States" sheetId="4" r:id="rId4"/>
    <sheet name="Checks" sheetId="5" r:id="rId5"/>
    <sheet name="Data" sheetId="6" r:id="rId6"/>
    <sheet name="State facts" sheetId="7" r:id="rId7"/>
  </sheets>
  <definedNames>
    <definedName name="Capacity">Inputs!$E$10</definedName>
    <definedName name="d_fr">Data!$B$2:$B$205</definedName>
    <definedName name="d_prov">Data!$E$2:$E$205</definedName>
    <definedName name="d_seg">Data!$C$2:$C$205</definedName>
    <definedName name="d_state">Data!$A$2:$A$205</definedName>
    <definedName name="d_work">Data!$H$2:$H$205</definedName>
    <definedName name="Franchise">Inputs!$C$4</definedName>
    <definedName name="s_adults">'State facts'!$C$2:$C$103</definedName>
    <definedName name="s_fr">'State facts'!$B$2:$B$103</definedName>
    <definedName name="s_patients">'State facts'!$D$2:$D$103</definedName>
    <definedName name="s_state">'State facts'!$A$2:$A$103</definedName>
    <definedName name="seg_calls">Inputs!$E$14:$E$17</definedName>
    <definedName name="seg_names">Inputs!$B$14:$B$17</definedName>
    <definedName name="seg_share">Inputs!$F$14:$F$17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5" i="6" l="1"/>
  <c r="F205" i="6"/>
  <c r="H205" i="6" s="1"/>
  <c r="G204" i="6"/>
  <c r="F204" i="6"/>
  <c r="H204" i="6" s="1"/>
  <c r="G203" i="6"/>
  <c r="F203" i="6"/>
  <c r="G202" i="6"/>
  <c r="F202" i="6"/>
  <c r="H202" i="6" s="1"/>
  <c r="G201" i="6"/>
  <c r="F201" i="6"/>
  <c r="H201" i="6" s="1"/>
  <c r="G200" i="6"/>
  <c r="F200" i="6"/>
  <c r="H200" i="6" s="1"/>
  <c r="G199" i="6"/>
  <c r="F199" i="6"/>
  <c r="H199" i="6" s="1"/>
  <c r="G198" i="6"/>
  <c r="F198" i="6"/>
  <c r="H198" i="6" s="1"/>
  <c r="G197" i="6"/>
  <c r="F197" i="6"/>
  <c r="H197" i="6" s="1"/>
  <c r="G196" i="6"/>
  <c r="F196" i="6"/>
  <c r="H196" i="6" s="1"/>
  <c r="G195" i="6"/>
  <c r="F195" i="6"/>
  <c r="G194" i="6"/>
  <c r="F194" i="6"/>
  <c r="H194" i="6" s="1"/>
  <c r="G193" i="6"/>
  <c r="F193" i="6"/>
  <c r="H193" i="6" s="1"/>
  <c r="G192" i="6"/>
  <c r="F192" i="6"/>
  <c r="G191" i="6"/>
  <c r="F191" i="6"/>
  <c r="H191" i="6" s="1"/>
  <c r="H190" i="6"/>
  <c r="G190" i="6"/>
  <c r="F190" i="6"/>
  <c r="G189" i="6"/>
  <c r="F189" i="6"/>
  <c r="H189" i="6" s="1"/>
  <c r="G188" i="6"/>
  <c r="F188" i="6"/>
  <c r="H188" i="6" s="1"/>
  <c r="G187" i="6"/>
  <c r="F187" i="6"/>
  <c r="H187" i="6" s="1"/>
  <c r="G186" i="6"/>
  <c r="H186" i="6" s="1"/>
  <c r="F186" i="6"/>
  <c r="G185" i="6"/>
  <c r="F185" i="6"/>
  <c r="G184" i="6"/>
  <c r="F184" i="6"/>
  <c r="H184" i="6" s="1"/>
  <c r="G183" i="6"/>
  <c r="F183" i="6"/>
  <c r="H183" i="6" s="1"/>
  <c r="G182" i="6"/>
  <c r="F182" i="6"/>
  <c r="G181" i="6"/>
  <c r="F181" i="6"/>
  <c r="H181" i="6" s="1"/>
  <c r="G180" i="6"/>
  <c r="H180" i="6" s="1"/>
  <c r="F180" i="6"/>
  <c r="G179" i="6"/>
  <c r="F179" i="6"/>
  <c r="H179" i="6" s="1"/>
  <c r="G178" i="6"/>
  <c r="F178" i="6"/>
  <c r="H178" i="6" s="1"/>
  <c r="G177" i="6"/>
  <c r="F177" i="6"/>
  <c r="H177" i="6" s="1"/>
  <c r="G176" i="6"/>
  <c r="F176" i="6"/>
  <c r="H176" i="6" s="1"/>
  <c r="G175" i="6"/>
  <c r="F175" i="6"/>
  <c r="H175" i="6" s="1"/>
  <c r="G174" i="6"/>
  <c r="F174" i="6"/>
  <c r="G173" i="6"/>
  <c r="F173" i="6"/>
  <c r="H173" i="6" s="1"/>
  <c r="G172" i="6"/>
  <c r="F172" i="6"/>
  <c r="H172" i="6" s="1"/>
  <c r="G171" i="6"/>
  <c r="F171" i="6"/>
  <c r="H171" i="6" s="1"/>
  <c r="G170" i="6"/>
  <c r="F170" i="6"/>
  <c r="H170" i="6" s="1"/>
  <c r="G169" i="6"/>
  <c r="F169" i="6"/>
  <c r="G168" i="6"/>
  <c r="F168" i="6"/>
  <c r="H168" i="6" s="1"/>
  <c r="G167" i="6"/>
  <c r="F167" i="6"/>
  <c r="H166" i="6"/>
  <c r="G166" i="6"/>
  <c r="F166" i="6"/>
  <c r="G165" i="6"/>
  <c r="F165" i="6"/>
  <c r="H165" i="6" s="1"/>
  <c r="G164" i="6"/>
  <c r="F164" i="6"/>
  <c r="H164" i="6" s="1"/>
  <c r="G163" i="6"/>
  <c r="F163" i="6"/>
  <c r="H163" i="6" s="1"/>
  <c r="G162" i="6"/>
  <c r="H162" i="6" s="1"/>
  <c r="F162" i="6"/>
  <c r="G161" i="6"/>
  <c r="F161" i="6"/>
  <c r="G160" i="6"/>
  <c r="F160" i="6"/>
  <c r="H160" i="6" s="1"/>
  <c r="G159" i="6"/>
  <c r="F159" i="6"/>
  <c r="H159" i="6" s="1"/>
  <c r="G158" i="6"/>
  <c r="F158" i="6"/>
  <c r="H158" i="6" s="1"/>
  <c r="G157" i="6"/>
  <c r="H157" i="6" s="1"/>
  <c r="F157" i="6"/>
  <c r="H156" i="6"/>
  <c r="G156" i="6"/>
  <c r="F156" i="6"/>
  <c r="G155" i="6"/>
  <c r="F155" i="6"/>
  <c r="G154" i="6"/>
  <c r="F154" i="6"/>
  <c r="G153" i="6"/>
  <c r="F153" i="6"/>
  <c r="H153" i="6" s="1"/>
  <c r="G152" i="6"/>
  <c r="F152" i="6"/>
  <c r="H152" i="6" s="1"/>
  <c r="G151" i="6"/>
  <c r="F151" i="6"/>
  <c r="H151" i="6" s="1"/>
  <c r="H150" i="6"/>
  <c r="G150" i="6"/>
  <c r="F150" i="6"/>
  <c r="G149" i="6"/>
  <c r="F149" i="6"/>
  <c r="H149" i="6" s="1"/>
  <c r="G148" i="6"/>
  <c r="F148" i="6"/>
  <c r="H148" i="6" s="1"/>
  <c r="G147" i="6"/>
  <c r="F147" i="6"/>
  <c r="H147" i="6" s="1"/>
  <c r="G146" i="6"/>
  <c r="F146" i="6"/>
  <c r="G145" i="6"/>
  <c r="H145" i="6" s="1"/>
  <c r="F145" i="6"/>
  <c r="G144" i="6"/>
  <c r="F144" i="6"/>
  <c r="G143" i="6"/>
  <c r="H143" i="6" s="1"/>
  <c r="F143" i="6"/>
  <c r="G142" i="6"/>
  <c r="F142" i="6"/>
  <c r="H142" i="6" s="1"/>
  <c r="G141" i="6"/>
  <c r="F141" i="6"/>
  <c r="G140" i="6"/>
  <c r="F140" i="6"/>
  <c r="H140" i="6" s="1"/>
  <c r="G139" i="6"/>
  <c r="F139" i="6"/>
  <c r="G138" i="6"/>
  <c r="H138" i="6" s="1"/>
  <c r="F138" i="6"/>
  <c r="G137" i="6"/>
  <c r="F137" i="6"/>
  <c r="H137" i="6" s="1"/>
  <c r="G136" i="6"/>
  <c r="F136" i="6"/>
  <c r="H136" i="6" s="1"/>
  <c r="G135" i="6"/>
  <c r="F135" i="6"/>
  <c r="H135" i="6" s="1"/>
  <c r="G134" i="6"/>
  <c r="F134" i="6"/>
  <c r="H134" i="6" s="1"/>
  <c r="G133" i="6"/>
  <c r="H133" i="6" s="1"/>
  <c r="F133" i="6"/>
  <c r="G132" i="6"/>
  <c r="F132" i="6"/>
  <c r="G131" i="6"/>
  <c r="H131" i="6" s="1"/>
  <c r="F131" i="6"/>
  <c r="G130" i="6"/>
  <c r="F130" i="6"/>
  <c r="H130" i="6" s="1"/>
  <c r="G129" i="6"/>
  <c r="F129" i="6"/>
  <c r="G128" i="6"/>
  <c r="F128" i="6"/>
  <c r="H128" i="6" s="1"/>
  <c r="G127" i="6"/>
  <c r="F127" i="6"/>
  <c r="H127" i="6" s="1"/>
  <c r="G126" i="6"/>
  <c r="F126" i="6"/>
  <c r="G125" i="6"/>
  <c r="F125" i="6"/>
  <c r="H125" i="6" s="1"/>
  <c r="G124" i="6"/>
  <c r="F124" i="6"/>
  <c r="H124" i="6" s="1"/>
  <c r="G123" i="6"/>
  <c r="F123" i="6"/>
  <c r="H123" i="6" s="1"/>
  <c r="G122" i="6"/>
  <c r="F122" i="6"/>
  <c r="H122" i="6" s="1"/>
  <c r="G121" i="6"/>
  <c r="F121" i="6"/>
  <c r="H121" i="6" s="1"/>
  <c r="G120" i="6"/>
  <c r="F120" i="6"/>
  <c r="H120" i="6" s="1"/>
  <c r="G119" i="6"/>
  <c r="H119" i="6" s="1"/>
  <c r="F119" i="6"/>
  <c r="G118" i="6"/>
  <c r="F118" i="6"/>
  <c r="G117" i="6"/>
  <c r="F117" i="6"/>
  <c r="H117" i="6" s="1"/>
  <c r="G116" i="6"/>
  <c r="F116" i="6"/>
  <c r="H116" i="6" s="1"/>
  <c r="G115" i="6"/>
  <c r="F115" i="6"/>
  <c r="H115" i="6" s="1"/>
  <c r="G114" i="6"/>
  <c r="F114" i="6"/>
  <c r="H114" i="6" s="1"/>
  <c r="G113" i="6"/>
  <c r="F113" i="6"/>
  <c r="G112" i="6"/>
  <c r="F112" i="6"/>
  <c r="H112" i="6" s="1"/>
  <c r="G111" i="6"/>
  <c r="F111" i="6"/>
  <c r="G110" i="6"/>
  <c r="F110" i="6"/>
  <c r="H110" i="6" s="1"/>
  <c r="G109" i="6"/>
  <c r="F109" i="6"/>
  <c r="G108" i="6"/>
  <c r="F108" i="6"/>
  <c r="G107" i="6"/>
  <c r="H107" i="6" s="1"/>
  <c r="F107" i="6"/>
  <c r="G106" i="6"/>
  <c r="F106" i="6"/>
  <c r="H106" i="6" s="1"/>
  <c r="G105" i="6"/>
  <c r="F105" i="6"/>
  <c r="G104" i="6"/>
  <c r="F104" i="6"/>
  <c r="H104" i="6" s="1"/>
  <c r="G103" i="6"/>
  <c r="F103" i="6"/>
  <c r="H103" i="6" s="1"/>
  <c r="G102" i="6"/>
  <c r="F102" i="6"/>
  <c r="H102" i="6" s="1"/>
  <c r="G101" i="6"/>
  <c r="F101" i="6"/>
  <c r="H101" i="6" s="1"/>
  <c r="G100" i="6"/>
  <c r="F100" i="6"/>
  <c r="H100" i="6" s="1"/>
  <c r="G99" i="6"/>
  <c r="F99" i="6"/>
  <c r="H99" i="6" s="1"/>
  <c r="G98" i="6"/>
  <c r="F98" i="6"/>
  <c r="G97" i="6"/>
  <c r="F97" i="6"/>
  <c r="H97" i="6" s="1"/>
  <c r="G96" i="6"/>
  <c r="F96" i="6"/>
  <c r="H96" i="6" s="1"/>
  <c r="G95" i="6"/>
  <c r="F95" i="6"/>
  <c r="G94" i="6"/>
  <c r="F94" i="6"/>
  <c r="H94" i="6" s="1"/>
  <c r="G93" i="6"/>
  <c r="F93" i="6"/>
  <c r="H93" i="6" s="1"/>
  <c r="G92" i="6"/>
  <c r="F92" i="6"/>
  <c r="H92" i="6" s="1"/>
  <c r="G91" i="6"/>
  <c r="F91" i="6"/>
  <c r="G90" i="6"/>
  <c r="F90" i="6"/>
  <c r="G89" i="6"/>
  <c r="F89" i="6"/>
  <c r="H89" i="6" s="1"/>
  <c r="G88" i="6"/>
  <c r="F88" i="6"/>
  <c r="H88" i="6" s="1"/>
  <c r="G87" i="6"/>
  <c r="F87" i="6"/>
  <c r="H87" i="6" s="1"/>
  <c r="G86" i="6"/>
  <c r="F86" i="6"/>
  <c r="H86" i="6" s="1"/>
  <c r="G85" i="6"/>
  <c r="F85" i="6"/>
  <c r="G84" i="6"/>
  <c r="F84" i="6"/>
  <c r="H84" i="6" s="1"/>
  <c r="G83" i="6"/>
  <c r="H83" i="6" s="1"/>
  <c r="F83" i="6"/>
  <c r="G82" i="6"/>
  <c r="F82" i="6"/>
  <c r="H82" i="6" s="1"/>
  <c r="G81" i="6"/>
  <c r="F81" i="6"/>
  <c r="H81" i="6" s="1"/>
  <c r="G80" i="6"/>
  <c r="F80" i="6"/>
  <c r="H80" i="6" s="1"/>
  <c r="G79" i="6"/>
  <c r="F79" i="6"/>
  <c r="H79" i="6" s="1"/>
  <c r="G78" i="6"/>
  <c r="F78" i="6"/>
  <c r="H78" i="6" s="1"/>
  <c r="G77" i="6"/>
  <c r="F77" i="6"/>
  <c r="G76" i="6"/>
  <c r="F76" i="6"/>
  <c r="H76" i="6" s="1"/>
  <c r="G75" i="6"/>
  <c r="F75" i="6"/>
  <c r="H75" i="6" s="1"/>
  <c r="G74" i="6"/>
  <c r="H74" i="6" s="1"/>
  <c r="F74" i="6"/>
  <c r="G73" i="6"/>
  <c r="F73" i="6"/>
  <c r="G72" i="6"/>
  <c r="F72" i="6"/>
  <c r="H72" i="6" s="1"/>
  <c r="G71" i="6"/>
  <c r="F71" i="6"/>
  <c r="H71" i="6" s="1"/>
  <c r="G70" i="6"/>
  <c r="F70" i="6"/>
  <c r="G69" i="6"/>
  <c r="F69" i="6"/>
  <c r="H69" i="6" s="1"/>
  <c r="G68" i="6"/>
  <c r="F68" i="6"/>
  <c r="H68" i="6" s="1"/>
  <c r="G67" i="6"/>
  <c r="F67" i="6"/>
  <c r="H67" i="6" s="1"/>
  <c r="G66" i="6"/>
  <c r="F66" i="6"/>
  <c r="H66" i="6" s="1"/>
  <c r="G65" i="6"/>
  <c r="F65" i="6"/>
  <c r="H65" i="6" s="1"/>
  <c r="G64" i="6"/>
  <c r="F64" i="6"/>
  <c r="H64" i="6" s="1"/>
  <c r="G63" i="6"/>
  <c r="F63" i="6"/>
  <c r="G62" i="6"/>
  <c r="F62" i="6"/>
  <c r="H61" i="6"/>
  <c r="G61" i="6"/>
  <c r="F61" i="6"/>
  <c r="G60" i="6"/>
  <c r="F60" i="6"/>
  <c r="H60" i="6" s="1"/>
  <c r="H59" i="6"/>
  <c r="G59" i="6"/>
  <c r="F59" i="6"/>
  <c r="G58" i="6"/>
  <c r="F58" i="6"/>
  <c r="H58" i="6" s="1"/>
  <c r="C20" i="4" s="1"/>
  <c r="G57" i="6"/>
  <c r="F57" i="6"/>
  <c r="G56" i="6"/>
  <c r="F56" i="6"/>
  <c r="H56" i="6" s="1"/>
  <c r="G55" i="6"/>
  <c r="F55" i="6"/>
  <c r="H54" i="6"/>
  <c r="G54" i="6"/>
  <c r="F54" i="6"/>
  <c r="G53" i="6"/>
  <c r="F53" i="6"/>
  <c r="H53" i="6" s="1"/>
  <c r="G52" i="6"/>
  <c r="F52" i="6"/>
  <c r="H52" i="6" s="1"/>
  <c r="G51" i="6"/>
  <c r="F51" i="6"/>
  <c r="H51" i="6" s="1"/>
  <c r="G50" i="6"/>
  <c r="F50" i="6"/>
  <c r="H50" i="6" s="1"/>
  <c r="G49" i="6"/>
  <c r="F49" i="6"/>
  <c r="G48" i="6"/>
  <c r="F48" i="6"/>
  <c r="H48" i="6" s="1"/>
  <c r="H47" i="6"/>
  <c r="G47" i="6"/>
  <c r="F47" i="6"/>
  <c r="G46" i="6"/>
  <c r="F46" i="6"/>
  <c r="H46" i="6" s="1"/>
  <c r="G45" i="6"/>
  <c r="F45" i="6"/>
  <c r="H45" i="6" s="1"/>
  <c r="G44" i="6"/>
  <c r="F44" i="6"/>
  <c r="H44" i="6" s="1"/>
  <c r="G43" i="6"/>
  <c r="F43" i="6"/>
  <c r="G42" i="6"/>
  <c r="F42" i="6"/>
  <c r="G41" i="6"/>
  <c r="F41" i="6"/>
  <c r="H41" i="6" s="1"/>
  <c r="G40" i="6"/>
  <c r="F40" i="6"/>
  <c r="H40" i="6" s="1"/>
  <c r="G39" i="6"/>
  <c r="F39" i="6"/>
  <c r="H39" i="6" s="1"/>
  <c r="G38" i="6"/>
  <c r="F38" i="6"/>
  <c r="H38" i="6" s="1"/>
  <c r="G37" i="6"/>
  <c r="F37" i="6"/>
  <c r="H37" i="6" s="1"/>
  <c r="G36" i="6"/>
  <c r="F36" i="6"/>
  <c r="H36" i="6" s="1"/>
  <c r="G35" i="6"/>
  <c r="H35" i="6" s="1"/>
  <c r="F35" i="6"/>
  <c r="G34" i="6"/>
  <c r="F34" i="6"/>
  <c r="G33" i="6"/>
  <c r="F33" i="6"/>
  <c r="H33" i="6" s="1"/>
  <c r="G32" i="6"/>
  <c r="F32" i="6"/>
  <c r="H32" i="6" s="1"/>
  <c r="G31" i="6"/>
  <c r="F31" i="6"/>
  <c r="H31" i="6" s="1"/>
  <c r="G30" i="6"/>
  <c r="F30" i="6"/>
  <c r="H30" i="6" s="1"/>
  <c r="G29" i="6"/>
  <c r="F29" i="6"/>
  <c r="G28" i="6"/>
  <c r="F28" i="6"/>
  <c r="H28" i="6" s="1"/>
  <c r="G27" i="6"/>
  <c r="F27" i="6"/>
  <c r="G26" i="6"/>
  <c r="F26" i="6"/>
  <c r="H26" i="6" s="1"/>
  <c r="G25" i="6"/>
  <c r="F25" i="6"/>
  <c r="G24" i="6"/>
  <c r="F24" i="6"/>
  <c r="G23" i="6"/>
  <c r="F23" i="6"/>
  <c r="H23" i="6" s="1"/>
  <c r="G22" i="6"/>
  <c r="F22" i="6"/>
  <c r="H22" i="6" s="1"/>
  <c r="G21" i="6"/>
  <c r="F21" i="6"/>
  <c r="G20" i="6"/>
  <c r="F20" i="6"/>
  <c r="H20" i="6" s="1"/>
  <c r="G19" i="6"/>
  <c r="F19" i="6"/>
  <c r="H19" i="6" s="1"/>
  <c r="G18" i="6"/>
  <c r="F18" i="6"/>
  <c r="H18" i="6" s="1"/>
  <c r="G17" i="6"/>
  <c r="F17" i="6"/>
  <c r="H17" i="6" s="1"/>
  <c r="G16" i="6"/>
  <c r="F16" i="6"/>
  <c r="H16" i="6" s="1"/>
  <c r="G15" i="6"/>
  <c r="F15" i="6"/>
  <c r="H15" i="6" s="1"/>
  <c r="G14" i="6"/>
  <c r="F14" i="6"/>
  <c r="G13" i="6"/>
  <c r="F13" i="6"/>
  <c r="H13" i="6" s="1"/>
  <c r="G12" i="6"/>
  <c r="F12" i="6"/>
  <c r="H12" i="6" s="1"/>
  <c r="G11" i="6"/>
  <c r="F11" i="6"/>
  <c r="G10" i="6"/>
  <c r="F10" i="6"/>
  <c r="H10" i="6" s="1"/>
  <c r="G9" i="6"/>
  <c r="F9" i="6"/>
  <c r="H9" i="6" s="1"/>
  <c r="G8" i="6"/>
  <c r="F8" i="6"/>
  <c r="H8" i="6" s="1"/>
  <c r="G7" i="6"/>
  <c r="F7" i="6"/>
  <c r="G6" i="6"/>
  <c r="H6" i="6" s="1"/>
  <c r="F6" i="6"/>
  <c r="G5" i="6"/>
  <c r="F5" i="6"/>
  <c r="H5" i="6" s="1"/>
  <c r="G4" i="6"/>
  <c r="F4" i="6"/>
  <c r="H4" i="6" s="1"/>
  <c r="G3" i="6"/>
  <c r="F3" i="6"/>
  <c r="H3" i="6" s="1"/>
  <c r="G2" i="6"/>
  <c r="F2" i="6"/>
  <c r="H2" i="6" s="1"/>
  <c r="C10" i="5"/>
  <c r="E10" i="5" s="1"/>
  <c r="C9" i="5"/>
  <c r="E9" i="5" s="1"/>
  <c r="E7" i="5"/>
  <c r="C7" i="5"/>
  <c r="C5" i="5"/>
  <c r="E5" i="5" s="1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15" i="3"/>
  <c r="D15" i="3"/>
  <c r="B15" i="3"/>
  <c r="C15" i="3" s="1"/>
  <c r="E15" i="3" s="1"/>
  <c r="G15" i="3" s="1"/>
  <c r="F14" i="3"/>
  <c r="D14" i="3"/>
  <c r="B14" i="3"/>
  <c r="C14" i="3" s="1"/>
  <c r="E14" i="3" s="1"/>
  <c r="G14" i="3" s="1"/>
  <c r="F13" i="3"/>
  <c r="D13" i="3"/>
  <c r="B13" i="3"/>
  <c r="C13" i="3" s="1"/>
  <c r="E13" i="3" s="1"/>
  <c r="G13" i="3" s="1"/>
  <c r="F12" i="3"/>
  <c r="D12" i="3"/>
  <c r="B12" i="3"/>
  <c r="C12" i="3" s="1"/>
  <c r="B2" i="3"/>
  <c r="D10" i="2"/>
  <c r="C10" i="2"/>
  <c r="E10" i="2" s="1"/>
  <c r="E8" i="5" s="1"/>
  <c r="E9" i="2"/>
  <c r="E8" i="2"/>
  <c r="H98" i="6" l="1"/>
  <c r="C30" i="4" s="1"/>
  <c r="D30" i="4" s="1"/>
  <c r="H169" i="6"/>
  <c r="C36" i="4"/>
  <c r="D36" i="4" s="1"/>
  <c r="C6" i="4"/>
  <c r="C39" i="4"/>
  <c r="D39" i="4" s="1"/>
  <c r="C45" i="4"/>
  <c r="D45" i="4" s="1"/>
  <c r="H195" i="6"/>
  <c r="C54" i="4" s="1"/>
  <c r="D54" i="4" s="1"/>
  <c r="H77" i="6"/>
  <c r="H29" i="6"/>
  <c r="H113" i="6"/>
  <c r="H42" i="6"/>
  <c r="C16" i="4" s="1"/>
  <c r="D16" i="4" s="1"/>
  <c r="G16" i="4" s="1"/>
  <c r="H161" i="6"/>
  <c r="H185" i="6"/>
  <c r="H43" i="6"/>
  <c r="H90" i="6"/>
  <c r="C28" i="4" s="1"/>
  <c r="D28" i="4" s="1"/>
  <c r="G28" i="4" s="1"/>
  <c r="H126" i="6"/>
  <c r="C37" i="4" s="1"/>
  <c r="D37" i="4" s="1"/>
  <c r="C27" i="4"/>
  <c r="D27" i="4" s="1"/>
  <c r="G27" i="4" s="1"/>
  <c r="H62" i="6"/>
  <c r="C21" i="4" s="1"/>
  <c r="D21" i="4" s="1"/>
  <c r="G21" i="4" s="1"/>
  <c r="H146" i="6"/>
  <c r="C42" i="4" s="1"/>
  <c r="D42" i="4" s="1"/>
  <c r="G42" i="4" s="1"/>
  <c r="G25" i="4"/>
  <c r="C52" i="4"/>
  <c r="D52" i="4" s="1"/>
  <c r="G52" i="4" s="1"/>
  <c r="H34" i="6"/>
  <c r="C14" i="4" s="1"/>
  <c r="D14" i="4" s="1"/>
  <c r="G14" i="4" s="1"/>
  <c r="H95" i="6"/>
  <c r="C29" i="4" s="1"/>
  <c r="D29" i="4" s="1"/>
  <c r="G29" i="4" s="1"/>
  <c r="H118" i="6"/>
  <c r="C35" i="4" s="1"/>
  <c r="D35" i="4" s="1"/>
  <c r="G35" i="4" s="1"/>
  <c r="H154" i="6"/>
  <c r="C44" i="4" s="1"/>
  <c r="D44" i="4" s="1"/>
  <c r="G44" i="4" s="1"/>
  <c r="H14" i="6"/>
  <c r="C9" i="4" s="1"/>
  <c r="D9" i="4" s="1"/>
  <c r="C48" i="4"/>
  <c r="D48" i="4" s="1"/>
  <c r="E57" i="4"/>
  <c r="C31" i="4"/>
  <c r="D31" i="4" s="1"/>
  <c r="H139" i="6"/>
  <c r="C40" i="4" s="1"/>
  <c r="D40" i="4" s="1"/>
  <c r="H141" i="6"/>
  <c r="H11" i="6"/>
  <c r="C8" i="4" s="1"/>
  <c r="D8" i="4" s="1"/>
  <c r="H155" i="6"/>
  <c r="H203" i="6"/>
  <c r="C56" i="4" s="1"/>
  <c r="D56" i="4" s="1"/>
  <c r="G56" i="4" s="1"/>
  <c r="C15" i="4"/>
  <c r="D15" i="4" s="1"/>
  <c r="G15" i="4" s="1"/>
  <c r="H182" i="6"/>
  <c r="C51" i="4" s="1"/>
  <c r="D51" i="4" s="1"/>
  <c r="G51" i="4" s="1"/>
  <c r="H111" i="6"/>
  <c r="C33" i="4" s="1"/>
  <c r="D33" i="4" s="1"/>
  <c r="G11" i="4"/>
  <c r="C25" i="4"/>
  <c r="D25" i="4" s="1"/>
  <c r="C50" i="4"/>
  <c r="D50" i="4" s="1"/>
  <c r="G50" i="4" s="1"/>
  <c r="G47" i="4"/>
  <c r="H63" i="6"/>
  <c r="C18" i="4"/>
  <c r="D18" i="4" s="1"/>
  <c r="G18" i="4" s="1"/>
  <c r="C43" i="4"/>
  <c r="D43" i="4" s="1"/>
  <c r="G43" i="4" s="1"/>
  <c r="C10" i="4"/>
  <c r="D10" i="4" s="1"/>
  <c r="G10" i="4" s="1"/>
  <c r="H21" i="6"/>
  <c r="H70" i="6"/>
  <c r="C23" i="4" s="1"/>
  <c r="D23" i="4" s="1"/>
  <c r="G23" i="4" s="1"/>
  <c r="C41" i="4"/>
  <c r="D41" i="4" s="1"/>
  <c r="G41" i="4" s="1"/>
  <c r="C17" i="4"/>
  <c r="D17" i="4" s="1"/>
  <c r="G17" i="4" s="1"/>
  <c r="G53" i="4"/>
  <c r="C46" i="4"/>
  <c r="D46" i="4" s="1"/>
  <c r="H57" i="6"/>
  <c r="H24" i="6"/>
  <c r="C11" i="4" s="1"/>
  <c r="D11" i="4" s="1"/>
  <c r="H73" i="6"/>
  <c r="H108" i="6"/>
  <c r="C32" i="4" s="1"/>
  <c r="D32" i="4" s="1"/>
  <c r="H132" i="6"/>
  <c r="C38" i="4" s="1"/>
  <c r="D38" i="4" s="1"/>
  <c r="H144" i="6"/>
  <c r="H167" i="6"/>
  <c r="C47" i="4" s="1"/>
  <c r="D47" i="4" s="1"/>
  <c r="H27" i="6"/>
  <c r="C12" i="4" s="1"/>
  <c r="D12" i="4" s="1"/>
  <c r="G12" i="4" s="1"/>
  <c r="C22" i="4"/>
  <c r="D22" i="4" s="1"/>
  <c r="G22" i="4" s="1"/>
  <c r="H91" i="6"/>
  <c r="H174" i="6"/>
  <c r="H7" i="6"/>
  <c r="H55" i="6"/>
  <c r="G39" i="4"/>
  <c r="G54" i="4"/>
  <c r="H105" i="6"/>
  <c r="G33" i="4"/>
  <c r="C24" i="4"/>
  <c r="D24" i="4" s="1"/>
  <c r="G24" i="4" s="1"/>
  <c r="F57" i="4"/>
  <c r="H129" i="6"/>
  <c r="D20" i="4"/>
  <c r="G20" i="4" s="1"/>
  <c r="C26" i="4"/>
  <c r="D26" i="4" s="1"/>
  <c r="G26" i="4" s="1"/>
  <c r="H25" i="6"/>
  <c r="H49" i="6"/>
  <c r="H85" i="6"/>
  <c r="H109" i="6"/>
  <c r="H192" i="6"/>
  <c r="C53" i="4" s="1"/>
  <c r="D53" i="4" s="1"/>
  <c r="G48" i="4"/>
  <c r="D6" i="4"/>
  <c r="G45" i="4"/>
  <c r="G8" i="4"/>
  <c r="C55" i="4"/>
  <c r="D55" i="4" s="1"/>
  <c r="C49" i="4"/>
  <c r="D49" i="4" s="1"/>
  <c r="G49" i="4" s="1"/>
  <c r="G36" i="4"/>
  <c r="C13" i="4"/>
  <c r="D13" i="4" s="1"/>
  <c r="C34" i="4"/>
  <c r="D34" i="4" s="1"/>
  <c r="G37" i="4"/>
  <c r="C7" i="4"/>
  <c r="D7" i="4" s="1"/>
  <c r="C19" i="4"/>
  <c r="D19" i="4" s="1"/>
  <c r="G31" i="4"/>
  <c r="G40" i="4"/>
  <c r="G9" i="4"/>
  <c r="G46" i="4"/>
  <c r="C7" i="3"/>
  <c r="C16" i="3"/>
  <c r="E12" i="3"/>
  <c r="G30" i="4"/>
  <c r="G32" i="4"/>
  <c r="G38" i="4"/>
  <c r="C9" i="3"/>
  <c r="A2" i="4"/>
  <c r="C8" i="5"/>
  <c r="C5" i="3" l="1"/>
  <c r="D57" i="4"/>
  <c r="C4" i="3"/>
  <c r="H6" i="4"/>
  <c r="E16" i="3"/>
  <c r="C6" i="3"/>
  <c r="G12" i="3"/>
  <c r="G16" i="3" s="1"/>
  <c r="H34" i="4"/>
  <c r="G6" i="4"/>
  <c r="H55" i="4"/>
  <c r="H13" i="4"/>
  <c r="G34" i="4"/>
  <c r="G7" i="4"/>
  <c r="G19" i="4"/>
  <c r="G55" i="4"/>
  <c r="G13" i="4"/>
  <c r="C57" i="4"/>
  <c r="H49" i="4"/>
  <c r="G57" i="4" l="1"/>
  <c r="H15" i="4"/>
  <c r="H43" i="4"/>
  <c r="H17" i="4"/>
  <c r="H11" i="4"/>
  <c r="H33" i="4"/>
  <c r="H40" i="4"/>
  <c r="H52" i="4"/>
  <c r="H10" i="4"/>
  <c r="H48" i="4"/>
  <c r="H8" i="4"/>
  <c r="H23" i="4"/>
  <c r="H39" i="4"/>
  <c r="H30" i="4"/>
  <c r="H56" i="4"/>
  <c r="H45" i="4"/>
  <c r="H31" i="4"/>
  <c r="H14" i="4"/>
  <c r="H16" i="4"/>
  <c r="H22" i="4"/>
  <c r="H26" i="4"/>
  <c r="H50" i="4"/>
  <c r="H21" i="4"/>
  <c r="H47" i="4"/>
  <c r="H53" i="4"/>
  <c r="H54" i="4"/>
  <c r="H42" i="4"/>
  <c r="H9" i="4"/>
  <c r="H32" i="4"/>
  <c r="H36" i="4"/>
  <c r="H25" i="4"/>
  <c r="H46" i="4"/>
  <c r="H28" i="4"/>
  <c r="H29" i="4"/>
  <c r="H35" i="4"/>
  <c r="H51" i="4"/>
  <c r="H12" i="4"/>
  <c r="H44" i="4"/>
  <c r="H20" i="4"/>
  <c r="H41" i="4"/>
  <c r="H38" i="4"/>
  <c r="H24" i="4"/>
  <c r="H27" i="4"/>
  <c r="H37" i="4"/>
  <c r="H18" i="4"/>
  <c r="C6" i="5"/>
  <c r="E6" i="5" s="1"/>
  <c r="E12" i="5" s="1"/>
  <c r="C8" i="3"/>
  <c r="H19" i="4"/>
  <c r="H7" i="4"/>
  <c r="H57" i="4" l="1"/>
</calcChain>
</file>

<file path=xl/sharedStrings.xml><?xml version="1.0" encoding="utf-8"?>
<sst xmlns="http://schemas.openxmlformats.org/spreadsheetml/2006/main" count="1226" uniqueCount="181">
  <si>
    <t>State</t>
  </si>
  <si>
    <t>Franchise</t>
  </si>
  <si>
    <t>Segment</t>
  </si>
  <si>
    <t>Tier</t>
  </si>
  <si>
    <t>Providers</t>
  </si>
  <si>
    <t>Calls per provider per year</t>
  </si>
  <si>
    <t>Share targeted</t>
  </si>
  <si>
    <t>Workload (calls a year)</t>
  </si>
  <si>
    <t>AK</t>
  </si>
  <si>
    <t>diabetes</t>
  </si>
  <si>
    <t>Endocrinology</t>
  </si>
  <si>
    <t>specialist</t>
  </si>
  <si>
    <t>Primary care NP or PA</t>
  </si>
  <si>
    <t>generalist</t>
  </si>
  <si>
    <t>Primary care physician</t>
  </si>
  <si>
    <t>oncology</t>
  </si>
  <si>
    <t>Oncology specialist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</si>
  <si>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</si>
  <si>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</si>
  <si>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</si>
  <si>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</si>
  <si>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</si>
  <si>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</si>
  <si>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</si>
  <si>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</si>
  <si>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</si>
  <si>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</si>
  <si>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</si>
  <si>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</si>
  <si>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</si>
  <si>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</si>
  <si>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</si>
  <si>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</si>
  <si>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</si>
  <si>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</si>
  <si>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</si>
  <si>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</si>
  <si>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</si>
  <si>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</si>
  <si>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</si>
  <si>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</si>
  <si>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</si>
  <si>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</si>
  <si>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</si>
  <si>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</si>
  <si>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</si>
  <si>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</si>
  <si>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</si>
  <si>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</si>
  <si>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</si>
  <si>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</si>
  <si>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</si>
  <si>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</si>
  <si>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</si>
  <si>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</si>
  <si>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</si>
  <si>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</si>
  <si>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</si>
  <si>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</si>
  <si>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</si>
  <si>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</si>
  <si>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</si>
  <si>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</si>
  <si>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</si>
  <si>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</si>
  <si>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</si>
  <si>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</si>
  <si>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Adults</t>
  </si>
  <si>
    <t>Patients (adults x prevalence)</t>
  </si>
  <si>
    <t>Counties</t>
  </si>
  <si>
    <t>Field Force Sizing Model: inputs</t>
  </si>
  <si>
    <t>Change the yellow cells. Every number on Sizing and States recalculates.</t>
  </si>
  <si>
    <t>diabetes: primary care and endocrinology. oncology: oncologists.</t>
  </si>
  <si>
    <t>Rep capacity</t>
  </si>
  <si>
    <t>Calls per rep per day</t>
  </si>
  <si>
    <t>Field days per year</t>
  </si>
  <si>
    <t>Calls per rep per year</t>
  </si>
  <si>
    <t>In use</t>
  </si>
  <si>
    <t>Share targeted is the share of that provider group a rep calls on (specialists: the top 60% by volume; generalists: the top quarter). Public data has no provider-level prescribing, so it is an assumption, not a ranking of individual doctors.</t>
  </si>
  <si>
    <t>Sizing</t>
  </si>
  <si>
    <t>Reps needed</t>
  </si>
  <si>
    <t>Calls needed a year</t>
  </si>
  <si>
    <t>Providers targeted</t>
  </si>
  <si>
    <t>Providers in the registry (universe)</t>
  </si>
  <si>
    <t>Territories (reps, rounded)</t>
  </si>
  <si>
    <t>Targeted</t>
  </si>
  <si>
    <t>Calls per provider</t>
  </si>
  <si>
    <t>Calls a year</t>
  </si>
  <si>
    <t>Total</t>
  </si>
  <si>
    <t>Segments that belong to the other franchise show zero providers.</t>
  </si>
  <si>
    <t>Reps by state</t>
  </si>
  <si>
    <t>Name</t>
  </si>
  <si>
    <t>Patients</t>
  </si>
  <si>
    <t>Reps per 100,000 adults</t>
  </si>
  <si>
    <t>Share of reps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</si>
  <si>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</si>
  <si>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</si>
  <si>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</si>
  <si>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</si>
  <si>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</si>
  <si>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</si>
  <si>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</si>
  <si>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</si>
  <si>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</si>
  <si>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</si>
  <si>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</si>
  <si>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</si>
  <si>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</si>
  <si>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</si>
  <si>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</si>
  <si>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</si>
  <si>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</si>
  <si>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</si>
  <si>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</si>
  <si>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</si>
  <si>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</si>
  <si>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</si>
  <si>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</si>
  <si>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</si>
  <si>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</si>
  <si>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</si>
  <si>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</si>
  <si>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</si>
  <si>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</si>
  <si>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</si>
  <si>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</si>
  <si>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</si>
  <si>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</si>
  <si>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</si>
  <si>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</si>
  <si>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</si>
  <si>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</si>
  <si>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</si>
  <si>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</si>
  <si>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</si>
  <si>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</si>
  <si>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</si>
  <si>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</si>
  <si>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</si>
  <si>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</si>
  <si>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</si>
  <si>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</si>
  <si>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</si>
  <si>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</si>
  <si>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</si>
  <si>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</si>
  <si>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United States</t>
  </si>
  <si>
    <t>Checks</t>
  </si>
  <si>
    <t>Check</t>
  </si>
  <si>
    <t>Value</t>
  </si>
  <si>
    <t>Rule</t>
  </si>
  <si>
    <t>Result</t>
  </si>
  <si>
    <t>Franchise is one of the two on the Inputs sheet</t>
  </si>
  <si>
    <t>diabetes or oncology</t>
  </si>
  <si>
    <t>Reps by state add up to reps from the segment table</t>
  </si>
  <si>
    <t>below 0.000001</t>
  </si>
  <si>
    <t>Every share targeted is between 0 and 100%</t>
  </si>
  <si>
    <t>0 to 1</t>
  </si>
  <si>
    <t>Rep capacity is positive</t>
  </si>
  <si>
    <t>above 0</t>
  </si>
  <si>
    <t>Providers on the Data sheet match the registry count for this franchise</t>
  </si>
  <si>
    <t>diabetes 919,249 / oncology 33,325</t>
  </si>
  <si>
    <t>All 51 states are listed once</t>
  </si>
  <si>
    <t>51</t>
  </si>
  <si>
    <t>Overall</t>
  </si>
  <si>
    <t>Field Force Sizing Model</t>
  </si>
  <si>
    <t>Part of Field Force Planner. Providers: CMS NPPES registry, October 2026 file. Patients: CDC PLACES prevalence x Census adults.</t>
  </si>
  <si>
    <t>What it answers</t>
  </si>
  <si>
    <t>How many reps does this call plan need, in total and state by state?</t>
  </si>
  <si>
    <t>Inputs</t>
  </si>
  <si>
    <t>Yellow cells: the franchise, each franchise's calls per rep per day and field days, and for each provider group the calls a year and the share a rep targets.</t>
  </si>
  <si>
    <t>Providers x share targeted x calls per provider = calls a year; calls / (calls per rep per year) = reps.</t>
  </si>
  <si>
    <t>States</t>
  </si>
  <si>
    <t>The same calculation for each state, with reps per 100,000 adults and each state's share of the total.</t>
  </si>
  <si>
    <t>What is an assumption</t>
  </si>
  <si>
    <t>Calls per rep, call frequency and share targeted are assumptions, written down so they can be changed. The provider counts are facts from the registry; the registry lists who and where, not what each provider prescribes.</t>
  </si>
  <si>
    <t>Alignment</t>
  </si>
  <si>
    <t>This workbook sizes the force. Cutting counties into balanced territories is done by the Python alignment and shown on the site.</t>
  </si>
  <si>
    <t>Six formulas that go to CHECK if an input is invalid or the Data sheet is edited.</t>
  </si>
  <si>
    <t>Source</t>
  </si>
  <si>
    <t>github.com/f20230125-sudo/field-force-planner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</si>
</sst>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8"/>
      <color rgb="FF1F2A33"/>
      <name val="Calibri"/>
      <family val="2"/>
      <scheme val="minor"/>
    </font>
    <font>
      <i/>
      <sz val="10"/>
      <color rgb="FF5B6672"/>
      <name val="Calibri"/>
      <family val="2"/>
      <scheme val="minor"/>
    </font>
    <font>
      <b/>
      <sz val="10"/>
      <color rgb="FF5B6672"/>
      <name val="Calibri"/>
      <family val="2"/>
      <scheme val="minor"/>
    </font>
    <font>
      <sz val="10"/>
      <color rgb="FF5B6672"/>
      <name val="Calibri"/>
      <family val="2"/>
      <scheme val="minor"/>
    </font>
    <font>
      <b/>
      <sz val="10"/>
      <color rgb="FF1D4ED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F2A33"/>
      <name val="Calibri"/>
      <family val="2"/>
      <scheme val="minor"/>
    </font>
    <font>
      <b/>
      <sz val="10"/>
      <color rgb="FF1F2A33"/>
      <name val="Calibri"/>
      <family val="2"/>
      <scheme val="minor"/>
    </font>
    <font>
      <b/>
      <sz val="14"/>
      <color rgb="FF15302C"/>
      <name val="Calibri"/>
      <family val="2"/>
      <scheme val="minor"/>
    </font>
    <font>
      <b/>
      <sz val="12"/>
      <color rgb="FF1F2A33"/>
      <name val="Calibri"/>
      <family val="2"/>
      <scheme val="minor"/>
    </font>
    <font>
      <b/>
      <sz val="10"/>
      <color rgb="FF15302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EBA9"/>
        <bgColor indexed="64"/>
      </patternFill>
    </fill>
    <fill>
      <patternFill patternType="solid">
        <fgColor rgb="FF1F2A33"/>
        <bgColor indexed="64"/>
      </patternFill>
    </fill>
  </fills>
  <borders count="4">
    <border>
      <left/>
      <right/>
      <top/>
      <bottom/>
      <diagonal/>
    </border>
    <border>
      <left style="thin">
        <color rgb="FF978429"/>
      </left>
      <right style="thin">
        <color rgb="FF978429"/>
      </right>
      <top style="thin">
        <color rgb="FF978429"/>
      </top>
      <bottom style="thin">
        <color rgb="FF978429"/>
      </bottom>
      <diagonal/>
    </border>
    <border>
      <left/>
      <right/>
      <top/>
      <bottom style="thin">
        <color rgb="FFD9DEE3"/>
      </bottom>
      <diagonal/>
    </border>
    <border>
      <left/>
      <right/>
      <top style="medium">
        <color rgb="FF1F2A33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7" fillId="0" borderId="2" xfId="0" applyFont="1" applyBorder="1"/>
    <xf numFmtId="3" fontId="7" fillId="0" borderId="2" xfId="0" applyNumberFormat="1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3" fontId="8" fillId="0" borderId="3" xfId="0" applyNumberFormat="1" applyFont="1" applyBorder="1"/>
    <xf numFmtId="9" fontId="5" fillId="2" borderId="1" xfId="0" applyNumberFormat="1" applyFont="1" applyFill="1" applyBorder="1" applyAlignment="1">
      <alignment horizontal="center"/>
    </xf>
    <xf numFmtId="164" fontId="9" fillId="0" borderId="0" xfId="0" applyNumberFormat="1" applyFont="1"/>
    <xf numFmtId="3" fontId="10" fillId="0" borderId="0" xfId="0" applyNumberFormat="1" applyFont="1"/>
    <xf numFmtId="9" fontId="7" fillId="0" borderId="2" xfId="0" applyNumberFormat="1" applyFont="1" applyBorder="1"/>
    <xf numFmtId="164" fontId="7" fillId="0" borderId="2" xfId="0" applyNumberFormat="1" applyFont="1" applyBorder="1"/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/>
    <xf numFmtId="165" fontId="7" fillId="0" borderId="2" xfId="0" applyNumberFormat="1" applyFont="1" applyBorder="1"/>
    <xf numFmtId="164" fontId="8" fillId="0" borderId="3" xfId="0" applyNumberFormat="1" applyFont="1" applyBorder="1"/>
    <xf numFmtId="2" fontId="8" fillId="0" borderId="3" xfId="0" applyNumberFormat="1" applyFont="1" applyBorder="1"/>
    <xf numFmtId="165" fontId="8" fillId="0" borderId="3" xfId="0" applyNumberFormat="1" applyFont="1" applyBorder="1"/>
    <xf numFmtId="0" fontId="6" fillId="3" borderId="0" xfId="0" applyFont="1" applyFill="1" applyAlignment="1">
      <alignment vertical="center" wrapText="1"/>
    </xf>
    <xf numFmtId="0" fontId="8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6672"/>
  </sheetPr>
  <dimension ref="B1:B19"/>
  <sheetViews>
    <sheetView showGridLines="0" workbookViewId="0"/>
  </sheetViews>
  <sheetFormatPr defaultRowHeight="14.4" x14ac:dyDescent="0.3"/>
  <cols>
    <col min="1" max="1" width="2.6640625" customWidth="1"/>
    <col min="2" max="2" width="110.6640625" customWidth="1"/>
  </cols>
  <sheetData>
    <row r="1" spans="2:2" ht="23.4" x14ac:dyDescent="0.45">
      <c r="B1" s="1" t="s">
        <v>165</v>
      </c>
    </row>
    <row r="2" spans="2:2" x14ac:dyDescent="0.3">
      <c r="B2" s="2" t="s">
        <v>166</v>
      </c>
    </row>
    <row r="4" spans="2:2" x14ac:dyDescent="0.3">
      <c r="B4" s="3" t="s">
        <v>167</v>
      </c>
    </row>
    <row r="5" spans="2:2" ht="30" customHeight="1" x14ac:dyDescent="0.3">
      <c r="B5" s="4" t="s">
        <v>168</v>
      </c>
    </row>
    <row r="6" spans="2:2" x14ac:dyDescent="0.3">
      <c r="B6" s="3" t="s">
        <v>169</v>
      </c>
    </row>
    <row r="7" spans="2:2" ht="30" customHeight="1" x14ac:dyDescent="0.3">
      <c r="B7" s="4" t="s">
        <v>170</v>
      </c>
    </row>
    <row r="8" spans="2:2" x14ac:dyDescent="0.3">
      <c r="B8" s="3" t="s">
        <v>79</v>
      </c>
    </row>
    <row r="9" spans="2:2" ht="30" customHeight="1" x14ac:dyDescent="0.3">
      <c r="B9" s="4" t="s">
        <v>171</v>
      </c>
    </row>
    <row r="10" spans="2:2" x14ac:dyDescent="0.3">
      <c r="B10" s="3" t="s">
        <v>172</v>
      </c>
    </row>
    <row r="11" spans="2:2" ht="30" customHeight="1" x14ac:dyDescent="0.3">
      <c r="B11" s="4" t="s">
        <v>173</v>
      </c>
    </row>
    <row r="12" spans="2:2" x14ac:dyDescent="0.3">
      <c r="B12" s="3" t="s">
        <v>174</v>
      </c>
    </row>
    <row r="13" spans="2:2" ht="30" customHeight="1" x14ac:dyDescent="0.3">
      <c r="B13" s="4" t="s">
        <v>175</v>
      </c>
    </row>
    <row r="14" spans="2:2" x14ac:dyDescent="0.3">
      <c r="B14" s="3" t="s">
        <v>176</v>
      </c>
    </row>
    <row r="15" spans="2:2" ht="30" customHeight="1" x14ac:dyDescent="0.3">
      <c r="B15" s="4" t="s">
        <v>177</v>
      </c>
    </row>
    <row r="16" spans="2:2" x14ac:dyDescent="0.3">
      <c r="B16" s="3" t="s">
        <v>147</v>
      </c>
    </row>
    <row r="17" spans="2:2" ht="30" customHeight="1" x14ac:dyDescent="0.3">
      <c r="B17" s="4" t="s">
        <v>178</v>
      </c>
    </row>
    <row r="18" spans="2:2" x14ac:dyDescent="0.3">
      <c r="B18" s="3" t="s">
        <v>179</v>
      </c>
    </row>
    <row r="19" spans="2:2" ht="30" customHeight="1" x14ac:dyDescent="0.3">
      <c r="B19" s="4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A8A04"/>
  </sheetPr>
  <dimension ref="B1:F19"/>
  <sheetViews>
    <sheetView showGridLines="0" tabSelected="1" workbookViewId="0"/>
  </sheetViews>
  <sheetFormatPr defaultRowHeight="14.4" x14ac:dyDescent="0.3"/>
  <cols>
    <col min="1" max="1" width="2.6640625" customWidth="1"/>
    <col min="2" max="2" width="34.6640625" customWidth="1"/>
    <col min="3" max="6" width="22.6640625" customWidth="1"/>
  </cols>
  <sheetData>
    <row r="1" spans="2:6" ht="23.4" x14ac:dyDescent="0.45">
      <c r="B1" s="1" t="s">
        <v>70</v>
      </c>
    </row>
    <row r="2" spans="2:6" x14ac:dyDescent="0.3">
      <c r="B2" s="2" t="s">
        <v>71</v>
      </c>
    </row>
    <row r="4" spans="2:6" x14ac:dyDescent="0.3">
      <c r="B4" s="3" t="s">
        <v>1</v>
      </c>
      <c r="C4" s="5" t="s">
        <v>9</v>
      </c>
      <c r="D4" s="2" t="s">
        <v>72</v>
      </c>
    </row>
    <row r="7" spans="2:6" x14ac:dyDescent="0.3">
      <c r="B7" s="6" t="s">
        <v>73</v>
      </c>
      <c r="C7" s="6" t="s">
        <v>74</v>
      </c>
      <c r="D7" s="6" t="s">
        <v>75</v>
      </c>
      <c r="E7" s="6" t="s">
        <v>76</v>
      </c>
    </row>
    <row r="8" spans="2:6" x14ac:dyDescent="0.3">
      <c r="B8" s="7" t="s">
        <v>9</v>
      </c>
      <c r="C8" s="5">
        <v>8</v>
      </c>
      <c r="D8" s="5">
        <v>190</v>
      </c>
      <c r="E8" s="8">
        <f>C8*D8</f>
        <v>1520</v>
      </c>
    </row>
    <row r="9" spans="2:6" x14ac:dyDescent="0.3">
      <c r="B9" s="7" t="s">
        <v>15</v>
      </c>
      <c r="C9" s="5">
        <v>4</v>
      </c>
      <c r="D9" s="5">
        <v>190</v>
      </c>
      <c r="E9" s="8">
        <f>C9*D9</f>
        <v>760</v>
      </c>
    </row>
    <row r="10" spans="2:6" x14ac:dyDescent="0.3">
      <c r="B10" s="9" t="s">
        <v>77</v>
      </c>
      <c r="C10" s="10">
        <f>INDEX(C8:C9,MATCH(Franchise,B8:B9,0))</f>
        <v>8</v>
      </c>
      <c r="D10" s="10">
        <f>INDEX(D8:D9,MATCH(Franchise,B8:B9,0))</f>
        <v>190</v>
      </c>
      <c r="E10" s="11">
        <f>C10*D10</f>
        <v>1520</v>
      </c>
    </row>
    <row r="13" spans="2:6" x14ac:dyDescent="0.3">
      <c r="B13" s="6" t="s">
        <v>2</v>
      </c>
      <c r="C13" s="6" t="s">
        <v>1</v>
      </c>
      <c r="D13" s="6" t="s">
        <v>3</v>
      </c>
      <c r="E13" s="6" t="s">
        <v>5</v>
      </c>
      <c r="F13" s="6" t="s">
        <v>6</v>
      </c>
    </row>
    <row r="14" spans="2:6" x14ac:dyDescent="0.3">
      <c r="B14" s="7" t="s">
        <v>10</v>
      </c>
      <c r="C14" s="7" t="s">
        <v>9</v>
      </c>
      <c r="D14" s="7" t="s">
        <v>11</v>
      </c>
      <c r="E14" s="5">
        <v>24</v>
      </c>
      <c r="F14" s="12">
        <v>0.6</v>
      </c>
    </row>
    <row r="15" spans="2:6" x14ac:dyDescent="0.3">
      <c r="B15" s="7" t="s">
        <v>14</v>
      </c>
      <c r="C15" s="7" t="s">
        <v>9</v>
      </c>
      <c r="D15" s="7" t="s">
        <v>13</v>
      </c>
      <c r="E15" s="5">
        <v>12</v>
      </c>
      <c r="F15" s="12">
        <v>0.25</v>
      </c>
    </row>
    <row r="16" spans="2:6" x14ac:dyDescent="0.3">
      <c r="B16" s="7" t="s">
        <v>12</v>
      </c>
      <c r="C16" s="7" t="s">
        <v>9</v>
      </c>
      <c r="D16" s="7" t="s">
        <v>13</v>
      </c>
      <c r="E16" s="5">
        <v>6</v>
      </c>
      <c r="F16" s="12">
        <v>0.25</v>
      </c>
    </row>
    <row r="17" spans="2:6" x14ac:dyDescent="0.3">
      <c r="B17" s="7" t="s">
        <v>16</v>
      </c>
      <c r="C17" s="7" t="s">
        <v>15</v>
      </c>
      <c r="D17" s="7" t="s">
        <v>11</v>
      </c>
      <c r="E17" s="5">
        <v>18</v>
      </c>
      <c r="F17" s="12">
        <v>0.6</v>
      </c>
    </row>
    <row r="19" spans="2:6" ht="42" customHeight="1" x14ac:dyDescent="0.3">
      <c r="B19" s="4" t="s">
        <v>78</v>
      </c>
    </row>
  </sheetData>
  <dataValidations count="1">
    <dataValidation type="list" allowBlank="1" showInputMessage="1" showErrorMessage="1" sqref="C4" xr:uid="{00000000-0002-0000-0100-000000000000}">
      <formula1>"diabetes,oncology"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302C"/>
  </sheetPr>
  <dimension ref="B1:G18"/>
  <sheetViews>
    <sheetView showGridLines="0" workbookViewId="0"/>
  </sheetViews>
  <sheetFormatPr defaultRowHeight="14.4" x14ac:dyDescent="0.3"/>
  <cols>
    <col min="1" max="1" width="2.6640625" customWidth="1"/>
    <col min="2" max="2" width="34.6640625" customWidth="1"/>
    <col min="3" max="8" width="18.6640625" customWidth="1"/>
  </cols>
  <sheetData>
    <row r="1" spans="2:7" ht="23.4" x14ac:dyDescent="0.45">
      <c r="B1" s="1" t="s">
        <v>79</v>
      </c>
    </row>
    <row r="2" spans="2:7" x14ac:dyDescent="0.3">
      <c r="B2" s="2" t="str">
        <f>"National result for the "&amp;Franchise&amp;" franchise."</f>
        <v>National result for the diabetes franchise.</v>
      </c>
    </row>
    <row r="4" spans="2:7" ht="18" x14ac:dyDescent="0.35">
      <c r="B4" s="3" t="s">
        <v>80</v>
      </c>
      <c r="C4" s="13">
        <f>SUM(States!D6:D56)</f>
        <v>1309.81322368421</v>
      </c>
    </row>
    <row r="5" spans="2:7" ht="15.6" x14ac:dyDescent="0.3">
      <c r="B5" s="3" t="s">
        <v>81</v>
      </c>
      <c r="C5" s="14">
        <f>SUM(States!C6:C56)</f>
        <v>1990916.1</v>
      </c>
    </row>
    <row r="6" spans="2:7" ht="15.6" x14ac:dyDescent="0.3">
      <c r="B6" s="3" t="s">
        <v>82</v>
      </c>
      <c r="C6" s="14">
        <f>SUM(E12:E15)</f>
        <v>233313.65</v>
      </c>
    </row>
    <row r="7" spans="2:7" ht="15.6" x14ac:dyDescent="0.3">
      <c r="B7" s="3" t="s">
        <v>83</v>
      </c>
      <c r="C7" s="14">
        <f>SUM(C12:C15)</f>
        <v>919249</v>
      </c>
    </row>
    <row r="8" spans="2:7" ht="15.6" x14ac:dyDescent="0.3">
      <c r="B8" s="3" t="s">
        <v>84</v>
      </c>
      <c r="C8" s="14">
        <f>ROUND(C4,0)</f>
        <v>1310</v>
      </c>
    </row>
    <row r="9" spans="2:7" ht="15.6" x14ac:dyDescent="0.3">
      <c r="B9" s="3" t="s">
        <v>76</v>
      </c>
      <c r="C9" s="14">
        <f>Capacity</f>
        <v>1520</v>
      </c>
    </row>
    <row r="11" spans="2:7" x14ac:dyDescent="0.3">
      <c r="B11" s="6" t="s">
        <v>2</v>
      </c>
      <c r="C11" s="6" t="s">
        <v>4</v>
      </c>
      <c r="D11" s="6" t="s">
        <v>6</v>
      </c>
      <c r="E11" s="6" t="s">
        <v>85</v>
      </c>
      <c r="F11" s="6" t="s">
        <v>86</v>
      </c>
      <c r="G11" s="6" t="s">
        <v>87</v>
      </c>
    </row>
    <row r="12" spans="2:7" x14ac:dyDescent="0.3">
      <c r="B12" s="7" t="str">
        <f>Inputs!B14</f>
        <v>Endocrinology</v>
      </c>
      <c r="C12" s="8">
        <f>SUMIFS(d_prov,d_seg,$B12,d_fr,Franchise)</f>
        <v>10004</v>
      </c>
      <c r="D12" s="15">
        <f>Inputs!F14</f>
        <v>0.6</v>
      </c>
      <c r="E12" s="8">
        <f>C12*D12</f>
        <v>6002.4</v>
      </c>
      <c r="F12" s="16">
        <f>Inputs!E14</f>
        <v>24</v>
      </c>
      <c r="G12" s="8">
        <f>E12*F12</f>
        <v>144057.59999999998</v>
      </c>
    </row>
    <row r="13" spans="2:7" x14ac:dyDescent="0.3">
      <c r="B13" s="7" t="str">
        <f>Inputs!B15</f>
        <v>Primary care physician</v>
      </c>
      <c r="C13" s="8">
        <f>SUMIFS(d_prov,d_seg,$B13,d_fr,Franchise)</f>
        <v>321994</v>
      </c>
      <c r="D13" s="15">
        <f>Inputs!F15</f>
        <v>0.25</v>
      </c>
      <c r="E13" s="8">
        <f>C13*D13</f>
        <v>80498.5</v>
      </c>
      <c r="F13" s="16">
        <f>Inputs!E15</f>
        <v>12</v>
      </c>
      <c r="G13" s="8">
        <f>E13*F13</f>
        <v>965982</v>
      </c>
    </row>
    <row r="14" spans="2:7" x14ac:dyDescent="0.3">
      <c r="B14" s="7" t="str">
        <f>Inputs!B16</f>
        <v>Primary care NP or PA</v>
      </c>
      <c r="C14" s="8">
        <f>SUMIFS(d_prov,d_seg,$B14,d_fr,Franchise)</f>
        <v>587251</v>
      </c>
      <c r="D14" s="15">
        <f>Inputs!F16</f>
        <v>0.25</v>
      </c>
      <c r="E14" s="8">
        <f>C14*D14</f>
        <v>146812.75</v>
      </c>
      <c r="F14" s="16">
        <f>Inputs!E16</f>
        <v>6</v>
      </c>
      <c r="G14" s="8">
        <f>E14*F14</f>
        <v>880876.5</v>
      </c>
    </row>
    <row r="15" spans="2:7" x14ac:dyDescent="0.3">
      <c r="B15" s="7" t="str">
        <f>Inputs!B17</f>
        <v>Oncology specialist</v>
      </c>
      <c r="C15" s="8">
        <f>SUMIFS(d_prov,d_seg,$B15,d_fr,Franchise)</f>
        <v>0</v>
      </c>
      <c r="D15" s="15">
        <f>Inputs!F17</f>
        <v>0.6</v>
      </c>
      <c r="E15" s="8">
        <f>C15*D15</f>
        <v>0</v>
      </c>
      <c r="F15" s="16">
        <f>Inputs!E17</f>
        <v>18</v>
      </c>
      <c r="G15" s="8">
        <f>E15*F15</f>
        <v>0</v>
      </c>
    </row>
    <row r="16" spans="2:7" x14ac:dyDescent="0.3">
      <c r="B16" s="9" t="s">
        <v>88</v>
      </c>
      <c r="C16" s="11">
        <f>SUM(C12:C15)</f>
        <v>919249</v>
      </c>
      <c r="E16" s="11">
        <f>SUM(E12:E15)</f>
        <v>233313.65</v>
      </c>
      <c r="G16" s="11">
        <f>SUM(G12:G15)</f>
        <v>1990916.1</v>
      </c>
    </row>
    <row r="18" spans="2:2" x14ac:dyDescent="0.3">
      <c r="B18" s="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302C"/>
  </sheetPr>
  <dimension ref="A1:H5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1" max="1" width="8.6640625" customWidth="1"/>
    <col min="2" max="2" width="22.6640625" customWidth="1"/>
    <col min="3" max="8" width="17.6640625" customWidth="1"/>
  </cols>
  <sheetData>
    <row r="1" spans="1:8" ht="23.4" x14ac:dyDescent="0.45">
      <c r="A1" s="1" t="s">
        <v>90</v>
      </c>
    </row>
    <row r="2" spans="1:8" x14ac:dyDescent="0.3">
      <c r="A2" s="2" t="str">
        <f>"Franchise: "&amp;Franchise&amp;". Reps = calls needed / "&amp;TEXT(Capacity,"#,##0")&amp;" calls per rep per year."</f>
        <v>Franchise: diabetes. Reps = calls needed / 1,520 calls per rep per year.</v>
      </c>
    </row>
    <row r="5" spans="1:8" ht="27.6" x14ac:dyDescent="0.3">
      <c r="A5" s="6" t="s">
        <v>0</v>
      </c>
      <c r="B5" s="6" t="s">
        <v>91</v>
      </c>
      <c r="C5" s="6" t="s">
        <v>87</v>
      </c>
      <c r="D5" s="6" t="s">
        <v>80</v>
      </c>
      <c r="E5" s="6" t="s">
        <v>67</v>
      </c>
      <c r="F5" s="6" t="s">
        <v>92</v>
      </c>
      <c r="G5" s="6" t="s">
        <v>93</v>
      </c>
      <c r="H5" s="6" t="s">
        <v>94</v>
      </c>
    </row>
    <row r="6" spans="1:8" x14ac:dyDescent="0.3">
      <c r="A6" s="17" t="s">
        <v>8</v>
      </c>
      <c r="B6" s="7" t="s">
        <v>95</v>
      </c>
      <c r="C6" s="8">
        <f t="shared" ref="C6:C37" si="0">SUMIFS(d_work,d_state,$A6,d_fr,Franchise)</f>
        <v>5487</v>
      </c>
      <c r="D6" s="16">
        <f t="shared" ref="D6:D37" si="1">C6/Capacity</f>
        <v>3.6098684210526315</v>
      </c>
      <c r="E6" s="8">
        <f t="shared" ref="E6:E37" si="2">SUMIFS(s_adults,s_state,$A6,s_fr,Franchise)</f>
        <v>553317</v>
      </c>
      <c r="F6" s="8">
        <f t="shared" ref="F6:F37" si="3">SUMIFS(s_patients,s_state,$A6,s_fr,Franchise)</f>
        <v>48855</v>
      </c>
      <c r="G6" s="18">
        <f t="shared" ref="G6:G37" si="4">IF(E6&gt;0,D6/E6*100000,"")</f>
        <v>0.65240511696778369</v>
      </c>
      <c r="H6" s="19">
        <f t="shared" ref="H6:H37" si="5">D6/D$57</f>
        <v>2.7560176945678433E-3</v>
      </c>
    </row>
    <row r="7" spans="1:8" x14ac:dyDescent="0.3">
      <c r="A7" s="17" t="s">
        <v>17</v>
      </c>
      <c r="B7" s="7" t="s">
        <v>96</v>
      </c>
      <c r="C7" s="8">
        <f t="shared" si="0"/>
        <v>25010.1</v>
      </c>
      <c r="D7" s="16">
        <f t="shared" si="1"/>
        <v>16.454013157894735</v>
      </c>
      <c r="E7" s="8">
        <f t="shared" si="2"/>
        <v>3917625</v>
      </c>
      <c r="F7" s="8">
        <f t="shared" si="3"/>
        <v>543042</v>
      </c>
      <c r="G7" s="18">
        <f t="shared" si="4"/>
        <v>0.41999969772233781</v>
      </c>
      <c r="H7" s="19">
        <f t="shared" si="5"/>
        <v>1.2562106459433427E-2</v>
      </c>
    </row>
    <row r="8" spans="1:8" x14ac:dyDescent="0.3">
      <c r="A8" s="17" t="s">
        <v>18</v>
      </c>
      <c r="B8" s="7" t="s">
        <v>97</v>
      </c>
      <c r="C8" s="8">
        <f t="shared" si="0"/>
        <v>15691.2</v>
      </c>
      <c r="D8" s="16">
        <f t="shared" si="1"/>
        <v>10.323157894736843</v>
      </c>
      <c r="E8" s="8">
        <f t="shared" si="2"/>
        <v>2322502</v>
      </c>
      <c r="F8" s="8">
        <f t="shared" si="3"/>
        <v>291944</v>
      </c>
      <c r="G8" s="18">
        <f t="shared" si="4"/>
        <v>0.44448434897954203</v>
      </c>
      <c r="H8" s="19">
        <f t="shared" si="5"/>
        <v>7.8813969106985501E-3</v>
      </c>
    </row>
    <row r="9" spans="1:8" x14ac:dyDescent="0.3">
      <c r="A9" s="17" t="s">
        <v>19</v>
      </c>
      <c r="B9" s="7" t="s">
        <v>98</v>
      </c>
      <c r="C9" s="8">
        <f t="shared" si="0"/>
        <v>41353.5</v>
      </c>
      <c r="D9" s="16">
        <f t="shared" si="1"/>
        <v>27.206250000000001</v>
      </c>
      <c r="E9" s="8">
        <f t="shared" si="2"/>
        <v>5662328</v>
      </c>
      <c r="F9" s="8">
        <f t="shared" si="3"/>
        <v>624417</v>
      </c>
      <c r="G9" s="18">
        <f t="shared" si="4"/>
        <v>0.48047817081596128</v>
      </c>
      <c r="H9" s="19">
        <f t="shared" si="5"/>
        <v>2.0771091257939005E-2</v>
      </c>
    </row>
    <row r="10" spans="1:8" x14ac:dyDescent="0.3">
      <c r="A10" s="17" t="s">
        <v>20</v>
      </c>
      <c r="B10" s="7" t="s">
        <v>99</v>
      </c>
      <c r="C10" s="8">
        <f t="shared" si="0"/>
        <v>198578.1</v>
      </c>
      <c r="D10" s="16">
        <f t="shared" si="1"/>
        <v>130.64348684210526</v>
      </c>
      <c r="E10" s="8">
        <f t="shared" si="2"/>
        <v>30465205</v>
      </c>
      <c r="F10" s="8">
        <f t="shared" si="3"/>
        <v>3486385</v>
      </c>
      <c r="G10" s="18">
        <f t="shared" si="4"/>
        <v>0.42882851712996928</v>
      </c>
      <c r="H10" s="19">
        <f t="shared" si="5"/>
        <v>9.9742073510782334E-2</v>
      </c>
    </row>
    <row r="11" spans="1:8" x14ac:dyDescent="0.3">
      <c r="A11" s="17" t="s">
        <v>21</v>
      </c>
      <c r="B11" s="7" t="s">
        <v>100</v>
      </c>
      <c r="C11" s="8">
        <f t="shared" si="0"/>
        <v>36822.300000000003</v>
      </c>
      <c r="D11" s="16">
        <f t="shared" si="1"/>
        <v>24.225197368421053</v>
      </c>
      <c r="E11" s="8">
        <f t="shared" si="2"/>
        <v>4568613</v>
      </c>
      <c r="F11" s="8">
        <f t="shared" si="3"/>
        <v>359156</v>
      </c>
      <c r="G11" s="18">
        <f t="shared" si="4"/>
        <v>0.53025277843452823</v>
      </c>
      <c r="H11" s="19">
        <f t="shared" si="5"/>
        <v>1.849515406500556E-2</v>
      </c>
    </row>
    <row r="12" spans="1:8" x14ac:dyDescent="0.3">
      <c r="A12" s="17" t="s">
        <v>22</v>
      </c>
      <c r="B12" s="7" t="s">
        <v>101</v>
      </c>
      <c r="C12" s="8">
        <f t="shared" si="0"/>
        <v>24147.9</v>
      </c>
      <c r="D12" s="16">
        <f t="shared" si="1"/>
        <v>15.886776315789474</v>
      </c>
      <c r="E12" s="8">
        <f t="shared" si="2"/>
        <v>2875887</v>
      </c>
      <c r="F12" s="8">
        <f t="shared" si="3"/>
        <v>293215</v>
      </c>
      <c r="G12" s="18">
        <f t="shared" si="4"/>
        <v>0.55241309257941895</v>
      </c>
      <c r="H12" s="19">
        <f t="shared" si="5"/>
        <v>1.2129039490915769E-2</v>
      </c>
    </row>
    <row r="13" spans="1:8" x14ac:dyDescent="0.3">
      <c r="A13" s="17" t="s">
        <v>23</v>
      </c>
      <c r="B13" s="7" t="s">
        <v>102</v>
      </c>
      <c r="C13" s="8">
        <f t="shared" si="0"/>
        <v>6651.3</v>
      </c>
      <c r="D13" s="16">
        <f t="shared" si="1"/>
        <v>4.3758552631578951</v>
      </c>
      <c r="E13" s="8">
        <f t="shared" si="2"/>
        <v>544215</v>
      </c>
      <c r="F13" s="8">
        <f t="shared" si="3"/>
        <v>42449</v>
      </c>
      <c r="G13" s="18">
        <f t="shared" si="4"/>
        <v>0.80406737468792566</v>
      </c>
      <c r="H13" s="19">
        <f t="shared" si="5"/>
        <v>3.3408238549078001E-3</v>
      </c>
    </row>
    <row r="14" spans="1:8" x14ac:dyDescent="0.3">
      <c r="A14" s="17" t="s">
        <v>24</v>
      </c>
      <c r="B14" s="7" t="s">
        <v>103</v>
      </c>
      <c r="C14" s="8">
        <f t="shared" si="0"/>
        <v>6419.4</v>
      </c>
      <c r="D14" s="16">
        <f t="shared" si="1"/>
        <v>4.2232894736842104</v>
      </c>
      <c r="E14" s="8">
        <f t="shared" si="2"/>
        <v>795090</v>
      </c>
      <c r="F14" s="8">
        <f t="shared" si="3"/>
        <v>97012</v>
      </c>
      <c r="G14" s="18">
        <f t="shared" si="4"/>
        <v>0.5311712477435524</v>
      </c>
      <c r="H14" s="19">
        <f t="shared" si="5"/>
        <v>3.2243448129230571E-3</v>
      </c>
    </row>
    <row r="15" spans="1:8" x14ac:dyDescent="0.3">
      <c r="A15" s="17" t="s">
        <v>25</v>
      </c>
      <c r="B15" s="7" t="s">
        <v>104</v>
      </c>
      <c r="C15" s="8">
        <f t="shared" si="0"/>
        <v>153357.29999999999</v>
      </c>
      <c r="D15" s="16">
        <f t="shared" si="1"/>
        <v>100.89296052631578</v>
      </c>
      <c r="E15" s="8">
        <f t="shared" si="2"/>
        <v>17491848</v>
      </c>
      <c r="F15" s="8">
        <f t="shared" si="3"/>
        <v>2333517</v>
      </c>
      <c r="G15" s="18">
        <f t="shared" si="4"/>
        <v>0.57679989287761801</v>
      </c>
      <c r="H15" s="19">
        <f t="shared" si="5"/>
        <v>7.7028509639356493E-2</v>
      </c>
    </row>
    <row r="16" spans="1:8" x14ac:dyDescent="0.3">
      <c r="A16" s="17" t="s">
        <v>26</v>
      </c>
      <c r="B16" s="7" t="s">
        <v>105</v>
      </c>
      <c r="C16" s="8">
        <f t="shared" si="0"/>
        <v>57722.400000000001</v>
      </c>
      <c r="D16" s="16">
        <f t="shared" si="1"/>
        <v>37.975263157894737</v>
      </c>
      <c r="E16" s="8">
        <f t="shared" si="2"/>
        <v>8275264</v>
      </c>
      <c r="F16" s="8">
        <f t="shared" si="3"/>
        <v>1038213</v>
      </c>
      <c r="G16" s="18">
        <f t="shared" si="4"/>
        <v>0.45890092639817576</v>
      </c>
      <c r="H16" s="19">
        <f t="shared" si="5"/>
        <v>2.8992884230530872E-2</v>
      </c>
    </row>
    <row r="17" spans="1:8" x14ac:dyDescent="0.3">
      <c r="A17" s="17" t="s">
        <v>27</v>
      </c>
      <c r="B17" s="7" t="s">
        <v>106</v>
      </c>
      <c r="C17" s="8">
        <f t="shared" si="0"/>
        <v>8528.4</v>
      </c>
      <c r="D17" s="16">
        <f t="shared" si="1"/>
        <v>5.6107894736842105</v>
      </c>
      <c r="E17" s="8">
        <f t="shared" si="2"/>
        <v>1137154</v>
      </c>
      <c r="F17" s="8">
        <f t="shared" si="3"/>
        <v>120470</v>
      </c>
      <c r="G17" s="18">
        <f t="shared" si="4"/>
        <v>0.49340629973461914</v>
      </c>
      <c r="H17" s="19">
        <f t="shared" si="5"/>
        <v>4.2836561520598502E-3</v>
      </c>
    </row>
    <row r="18" spans="1:8" x14ac:dyDescent="0.3">
      <c r="A18" s="17" t="s">
        <v>28</v>
      </c>
      <c r="B18" s="7" t="s">
        <v>107</v>
      </c>
      <c r="C18" s="8">
        <f t="shared" si="0"/>
        <v>18523.2</v>
      </c>
      <c r="D18" s="16">
        <f t="shared" si="1"/>
        <v>12.186315789473685</v>
      </c>
      <c r="E18" s="8">
        <f t="shared" si="2"/>
        <v>2456703</v>
      </c>
      <c r="F18" s="8">
        <f t="shared" si="3"/>
        <v>242683</v>
      </c>
      <c r="G18" s="18">
        <f t="shared" si="4"/>
        <v>0.49604350991852431</v>
      </c>
      <c r="H18" s="19">
        <f t="shared" si="5"/>
        <v>9.3038576562819546E-3</v>
      </c>
    </row>
    <row r="19" spans="1:8" x14ac:dyDescent="0.3">
      <c r="A19" s="17" t="s">
        <v>29</v>
      </c>
      <c r="B19" s="7" t="s">
        <v>108</v>
      </c>
      <c r="C19" s="8">
        <f t="shared" si="0"/>
        <v>11224.8</v>
      </c>
      <c r="D19" s="16">
        <f t="shared" si="1"/>
        <v>7.384736842105263</v>
      </c>
      <c r="E19" s="8">
        <f t="shared" si="2"/>
        <v>1431897</v>
      </c>
      <c r="F19" s="8">
        <f t="shared" si="3"/>
        <v>146944</v>
      </c>
      <c r="G19" s="18">
        <f t="shared" si="4"/>
        <v>0.51573100873214084</v>
      </c>
      <c r="H19" s="19">
        <f t="shared" si="5"/>
        <v>5.6380075483843869E-3</v>
      </c>
    </row>
    <row r="20" spans="1:8" x14ac:dyDescent="0.3">
      <c r="A20" s="17" t="s">
        <v>30</v>
      </c>
      <c r="B20" s="7" t="s">
        <v>109</v>
      </c>
      <c r="C20" s="8">
        <f t="shared" si="0"/>
        <v>77038.8</v>
      </c>
      <c r="D20" s="16">
        <f t="shared" si="1"/>
        <v>50.68342105263158</v>
      </c>
      <c r="E20" s="8">
        <f t="shared" si="2"/>
        <v>9868245</v>
      </c>
      <c r="F20" s="8">
        <f t="shared" si="3"/>
        <v>1083816</v>
      </c>
      <c r="G20" s="18">
        <f t="shared" si="4"/>
        <v>0.51360116264474154</v>
      </c>
      <c r="H20" s="19">
        <f t="shared" si="5"/>
        <v>3.8695151443096994E-2</v>
      </c>
    </row>
    <row r="21" spans="1:8" x14ac:dyDescent="0.3">
      <c r="A21" s="17" t="s">
        <v>31</v>
      </c>
      <c r="B21" s="7" t="s">
        <v>110</v>
      </c>
      <c r="C21" s="8">
        <f t="shared" si="0"/>
        <v>38936.400000000001</v>
      </c>
      <c r="D21" s="16">
        <f t="shared" si="1"/>
        <v>25.616052631578949</v>
      </c>
      <c r="E21" s="8">
        <f t="shared" si="2"/>
        <v>5218979</v>
      </c>
      <c r="F21" s="8">
        <f t="shared" si="3"/>
        <v>625762</v>
      </c>
      <c r="G21" s="18">
        <f t="shared" si="4"/>
        <v>0.49082497997364904</v>
      </c>
      <c r="H21" s="19">
        <f t="shared" si="5"/>
        <v>1.9557027038959611E-2</v>
      </c>
    </row>
    <row r="22" spans="1:8" x14ac:dyDescent="0.3">
      <c r="A22" s="17" t="s">
        <v>32</v>
      </c>
      <c r="B22" s="7" t="s">
        <v>111</v>
      </c>
      <c r="C22" s="8">
        <f t="shared" si="0"/>
        <v>18828.599999999999</v>
      </c>
      <c r="D22" s="16">
        <f t="shared" si="1"/>
        <v>12.387236842105262</v>
      </c>
      <c r="E22" s="8">
        <f t="shared" si="2"/>
        <v>2231518</v>
      </c>
      <c r="F22" s="8">
        <f t="shared" si="3"/>
        <v>248894</v>
      </c>
      <c r="G22" s="18">
        <f t="shared" si="4"/>
        <v>0.55510360400880754</v>
      </c>
      <c r="H22" s="19">
        <f t="shared" si="5"/>
        <v>9.4572543765154161E-3</v>
      </c>
    </row>
    <row r="23" spans="1:8" x14ac:dyDescent="0.3">
      <c r="A23" s="17" t="s">
        <v>33</v>
      </c>
      <c r="B23" s="7" t="s">
        <v>112</v>
      </c>
      <c r="C23" s="8">
        <f t="shared" si="0"/>
        <v>27271.5</v>
      </c>
      <c r="D23" s="16">
        <f t="shared" si="1"/>
        <v>17.941776315789475</v>
      </c>
      <c r="E23" s="8">
        <f t="shared" si="2"/>
        <v>3493482</v>
      </c>
      <c r="F23" s="8">
        <f t="shared" si="3"/>
        <v>436831</v>
      </c>
      <c r="G23" s="18">
        <f t="shared" si="4"/>
        <v>0.51357861056073784</v>
      </c>
      <c r="H23" s="19">
        <f t="shared" si="5"/>
        <v>1.369796547428594E-2</v>
      </c>
    </row>
    <row r="24" spans="1:8" x14ac:dyDescent="0.3">
      <c r="A24" s="17" t="s">
        <v>34</v>
      </c>
      <c r="B24" s="7" t="s">
        <v>113</v>
      </c>
      <c r="C24" s="8">
        <f t="shared" si="0"/>
        <v>24374.7</v>
      </c>
      <c r="D24" s="16">
        <f t="shared" si="1"/>
        <v>16.035986842105263</v>
      </c>
      <c r="E24" s="8">
        <f t="shared" si="2"/>
        <v>3541104</v>
      </c>
      <c r="F24" s="8">
        <f t="shared" si="3"/>
        <v>485073</v>
      </c>
      <c r="G24" s="18">
        <f t="shared" si="4"/>
        <v>0.45285274993632668</v>
      </c>
      <c r="H24" s="19">
        <f t="shared" si="5"/>
        <v>1.2242956898083255E-2</v>
      </c>
    </row>
    <row r="25" spans="1:8" x14ac:dyDescent="0.3">
      <c r="A25" s="17" t="s">
        <v>35</v>
      </c>
      <c r="B25" s="7" t="s">
        <v>114</v>
      </c>
      <c r="C25" s="8">
        <f t="shared" si="0"/>
        <v>57278.1</v>
      </c>
      <c r="D25" s="16">
        <f t="shared" si="1"/>
        <v>37.682960526315789</v>
      </c>
      <c r="E25" s="8">
        <f t="shared" si="2"/>
        <v>5622590</v>
      </c>
      <c r="F25" s="8">
        <f t="shared" si="3"/>
        <v>515609</v>
      </c>
      <c r="G25" s="18">
        <f t="shared" si="4"/>
        <v>0.67020644447337951</v>
      </c>
      <c r="H25" s="19">
        <f t="shared" si="5"/>
        <v>2.8769720632627373E-2</v>
      </c>
    </row>
    <row r="26" spans="1:8" x14ac:dyDescent="0.3">
      <c r="A26" s="17" t="s">
        <v>36</v>
      </c>
      <c r="B26" s="7" t="s">
        <v>115</v>
      </c>
      <c r="C26" s="8">
        <f t="shared" si="0"/>
        <v>40272.9</v>
      </c>
      <c r="D26" s="16">
        <f t="shared" si="1"/>
        <v>26.495328947368421</v>
      </c>
      <c r="E26" s="8">
        <f t="shared" si="2"/>
        <v>4801825</v>
      </c>
      <c r="F26" s="8">
        <f t="shared" si="3"/>
        <v>543258</v>
      </c>
      <c r="G26" s="18">
        <f t="shared" si="4"/>
        <v>0.55177622981613073</v>
      </c>
      <c r="H26" s="19">
        <f t="shared" si="5"/>
        <v>2.0228326045482286E-2</v>
      </c>
    </row>
    <row r="27" spans="1:8" x14ac:dyDescent="0.3">
      <c r="A27" s="17" t="s">
        <v>37</v>
      </c>
      <c r="B27" s="7" t="s">
        <v>116</v>
      </c>
      <c r="C27" s="8">
        <f t="shared" si="0"/>
        <v>10763.7</v>
      </c>
      <c r="D27" s="16">
        <f t="shared" si="1"/>
        <v>7.0813815789473686</v>
      </c>
      <c r="E27" s="8">
        <f t="shared" si="2"/>
        <v>1120338</v>
      </c>
      <c r="F27" s="8">
        <f t="shared" si="3"/>
        <v>115323</v>
      </c>
      <c r="G27" s="18">
        <f t="shared" si="4"/>
        <v>0.63207546106151613</v>
      </c>
      <c r="H27" s="19">
        <f t="shared" si="5"/>
        <v>5.4064056240240386E-3</v>
      </c>
    </row>
    <row r="28" spans="1:8" x14ac:dyDescent="0.3">
      <c r="A28" s="17" t="s">
        <v>38</v>
      </c>
      <c r="B28" s="7" t="s">
        <v>117</v>
      </c>
      <c r="C28" s="8">
        <f t="shared" si="0"/>
        <v>69338.7</v>
      </c>
      <c r="D28" s="16">
        <f t="shared" si="1"/>
        <v>45.61756578947368</v>
      </c>
      <c r="E28" s="8">
        <f t="shared" si="2"/>
        <v>7897432</v>
      </c>
      <c r="F28" s="8">
        <f t="shared" si="3"/>
        <v>861892</v>
      </c>
      <c r="G28" s="18">
        <f t="shared" si="4"/>
        <v>0.57762530642205823</v>
      </c>
      <c r="H28" s="19">
        <f t="shared" si="5"/>
        <v>3.4827534922240076E-2</v>
      </c>
    </row>
    <row r="29" spans="1:8" x14ac:dyDescent="0.3">
      <c r="A29" s="17" t="s">
        <v>39</v>
      </c>
      <c r="B29" s="7" t="s">
        <v>118</v>
      </c>
      <c r="C29" s="8">
        <f t="shared" si="0"/>
        <v>40792.800000000003</v>
      </c>
      <c r="D29" s="16">
        <f t="shared" si="1"/>
        <v>26.837368421052634</v>
      </c>
      <c r="E29" s="8">
        <f t="shared" si="2"/>
        <v>4389823</v>
      </c>
      <c r="F29" s="8">
        <f t="shared" si="3"/>
        <v>408460</v>
      </c>
      <c r="G29" s="18">
        <f t="shared" si="4"/>
        <v>0.61135422592329203</v>
      </c>
      <c r="H29" s="19">
        <f t="shared" si="5"/>
        <v>2.0489462112441615E-2</v>
      </c>
    </row>
    <row r="30" spans="1:8" x14ac:dyDescent="0.3">
      <c r="A30" s="17" t="s">
        <v>40</v>
      </c>
      <c r="B30" s="7" t="s">
        <v>119</v>
      </c>
      <c r="C30" s="8">
        <f t="shared" si="0"/>
        <v>35270.699999999997</v>
      </c>
      <c r="D30" s="16">
        <f t="shared" si="1"/>
        <v>23.204407894736839</v>
      </c>
      <c r="E30" s="8">
        <f t="shared" si="2"/>
        <v>4783630</v>
      </c>
      <c r="F30" s="8">
        <f t="shared" si="3"/>
        <v>558427</v>
      </c>
      <c r="G30" s="18">
        <f t="shared" si="4"/>
        <v>0.48507948764299996</v>
      </c>
      <c r="H30" s="19">
        <f t="shared" si="5"/>
        <v>1.7715814342954991E-2</v>
      </c>
    </row>
    <row r="31" spans="1:8" x14ac:dyDescent="0.3">
      <c r="A31" s="17" t="s">
        <v>41</v>
      </c>
      <c r="B31" s="7" t="s">
        <v>120</v>
      </c>
      <c r="C31" s="8">
        <f t="shared" si="0"/>
        <v>15999</v>
      </c>
      <c r="D31" s="16">
        <f t="shared" si="1"/>
        <v>10.525657894736842</v>
      </c>
      <c r="E31" s="8">
        <f t="shared" si="2"/>
        <v>2257130</v>
      </c>
      <c r="F31" s="8">
        <f t="shared" si="3"/>
        <v>329089</v>
      </c>
      <c r="G31" s="18">
        <f t="shared" si="4"/>
        <v>0.46632927189558604</v>
      </c>
      <c r="H31" s="19">
        <f t="shared" si="5"/>
        <v>8.0359991061401369E-3</v>
      </c>
    </row>
    <row r="32" spans="1:8" x14ac:dyDescent="0.3">
      <c r="A32" s="17" t="s">
        <v>42</v>
      </c>
      <c r="B32" s="7" t="s">
        <v>121</v>
      </c>
      <c r="C32" s="8">
        <f t="shared" si="0"/>
        <v>7085.7</v>
      </c>
      <c r="D32" s="16">
        <f t="shared" si="1"/>
        <v>4.6616447368421055</v>
      </c>
      <c r="E32" s="8">
        <f t="shared" si="2"/>
        <v>869201</v>
      </c>
      <c r="F32" s="8">
        <f t="shared" si="3"/>
        <v>83667</v>
      </c>
      <c r="G32" s="18">
        <f t="shared" si="4"/>
        <v>0.53631377976349603</v>
      </c>
      <c r="H32" s="19">
        <f t="shared" si="5"/>
        <v>3.5590148675777966E-3</v>
      </c>
    </row>
    <row r="33" spans="1:8" x14ac:dyDescent="0.3">
      <c r="A33" s="17" t="s">
        <v>43</v>
      </c>
      <c r="B33" s="7" t="s">
        <v>122</v>
      </c>
      <c r="C33" s="8">
        <f t="shared" si="0"/>
        <v>65190.6</v>
      </c>
      <c r="D33" s="16">
        <f t="shared" si="1"/>
        <v>42.888552631578946</v>
      </c>
      <c r="E33" s="8">
        <f t="shared" si="2"/>
        <v>8249659</v>
      </c>
      <c r="F33" s="8">
        <f t="shared" si="3"/>
        <v>990755</v>
      </c>
      <c r="G33" s="18">
        <f t="shared" si="4"/>
        <v>0.51988273250541561</v>
      </c>
      <c r="H33" s="19">
        <f t="shared" si="5"/>
        <v>3.2744021709403034E-2</v>
      </c>
    </row>
    <row r="34" spans="1:8" x14ac:dyDescent="0.3">
      <c r="A34" s="17" t="s">
        <v>44</v>
      </c>
      <c r="B34" s="7" t="s">
        <v>123</v>
      </c>
      <c r="C34" s="8">
        <f t="shared" si="0"/>
        <v>5601.3</v>
      </c>
      <c r="D34" s="16">
        <f t="shared" si="1"/>
        <v>3.6850657894736845</v>
      </c>
      <c r="E34" s="8">
        <f t="shared" si="2"/>
        <v>589247</v>
      </c>
      <c r="F34" s="8">
        <f t="shared" si="3"/>
        <v>55238</v>
      </c>
      <c r="G34" s="18">
        <f t="shared" si="4"/>
        <v>0.62538558354538665</v>
      </c>
      <c r="H34" s="19">
        <f t="shared" si="5"/>
        <v>2.8134284513546314E-3</v>
      </c>
    </row>
    <row r="35" spans="1:8" x14ac:dyDescent="0.3">
      <c r="A35" s="17" t="s">
        <v>45</v>
      </c>
      <c r="B35" s="7" t="s">
        <v>124</v>
      </c>
      <c r="C35" s="8">
        <f t="shared" si="0"/>
        <v>11129.1</v>
      </c>
      <c r="D35" s="16">
        <f t="shared" si="1"/>
        <v>7.3217763157894735</v>
      </c>
      <c r="E35" s="8">
        <f t="shared" si="2"/>
        <v>1480808</v>
      </c>
      <c r="F35" s="8">
        <f t="shared" si="3"/>
        <v>146641</v>
      </c>
      <c r="G35" s="18">
        <f t="shared" si="4"/>
        <v>0.49444467586543789</v>
      </c>
      <c r="H35" s="19">
        <f t="shared" si="5"/>
        <v>5.5899392244605408E-3</v>
      </c>
    </row>
    <row r="36" spans="1:8" x14ac:dyDescent="0.3">
      <c r="A36" s="17" t="s">
        <v>46</v>
      </c>
      <c r="B36" s="7" t="s">
        <v>125</v>
      </c>
      <c r="C36" s="8">
        <f t="shared" si="0"/>
        <v>9088.5</v>
      </c>
      <c r="D36" s="16">
        <f t="shared" si="1"/>
        <v>5.9792763157894733</v>
      </c>
      <c r="E36" s="8">
        <f t="shared" si="2"/>
        <v>1132616</v>
      </c>
      <c r="F36" s="8">
        <f t="shared" si="3"/>
        <v>102219</v>
      </c>
      <c r="G36" s="18">
        <f t="shared" si="4"/>
        <v>0.52791734495976328</v>
      </c>
      <c r="H36" s="19">
        <f t="shared" si="5"/>
        <v>4.5649839287552115E-3</v>
      </c>
    </row>
    <row r="37" spans="1:8" x14ac:dyDescent="0.3">
      <c r="A37" s="17" t="s">
        <v>47</v>
      </c>
      <c r="B37" s="7" t="s">
        <v>126</v>
      </c>
      <c r="C37" s="8">
        <f t="shared" si="0"/>
        <v>49326.3</v>
      </c>
      <c r="D37" s="16">
        <f t="shared" si="1"/>
        <v>32.451513157894738</v>
      </c>
      <c r="E37" s="8">
        <f t="shared" si="2"/>
        <v>7244002</v>
      </c>
      <c r="F37" s="8">
        <f t="shared" si="3"/>
        <v>766496</v>
      </c>
      <c r="G37" s="18">
        <f t="shared" si="4"/>
        <v>0.44797769462093934</v>
      </c>
      <c r="H37" s="19">
        <f t="shared" si="5"/>
        <v>2.4775679899318722E-2</v>
      </c>
    </row>
    <row r="38" spans="1:8" x14ac:dyDescent="0.3">
      <c r="A38" s="17" t="s">
        <v>48</v>
      </c>
      <c r="B38" s="7" t="s">
        <v>127</v>
      </c>
      <c r="C38" s="8">
        <f t="shared" ref="C38:C56" si="6">SUMIFS(d_work,d_state,$A38,d_fr,Franchise)</f>
        <v>11824.2</v>
      </c>
      <c r="D38" s="16">
        <f t="shared" ref="D38:D69" si="7">C38/Capacity</f>
        <v>7.7790789473684212</v>
      </c>
      <c r="E38" s="8">
        <f t="shared" ref="E38:E56" si="8">SUMIFS(s_adults,s_state,$A38,s_fr,Franchise)</f>
        <v>1642656</v>
      </c>
      <c r="F38" s="8">
        <f t="shared" ref="F38:F56" si="9">SUMIFS(s_patients,s_state,$A38,s_fr,Franchise)</f>
        <v>215053</v>
      </c>
      <c r="G38" s="18">
        <f t="shared" ref="G38:G56" si="10">IF(E38&gt;0,D38/E38*100000,"")</f>
        <v>0.47356713440722958</v>
      </c>
      <c r="H38" s="19">
        <f t="shared" ref="H38:H56" si="11">D38/D$57</f>
        <v>5.9390749816127381E-3</v>
      </c>
    </row>
    <row r="39" spans="1:8" x14ac:dyDescent="0.3">
      <c r="A39" s="17" t="s">
        <v>49</v>
      </c>
      <c r="B39" s="7" t="s">
        <v>128</v>
      </c>
      <c r="C39" s="8">
        <f t="shared" si="6"/>
        <v>16200.3</v>
      </c>
      <c r="D39" s="16">
        <f t="shared" si="7"/>
        <v>10.658092105263158</v>
      </c>
      <c r="E39" s="8">
        <f t="shared" si="8"/>
        <v>2445243</v>
      </c>
      <c r="F39" s="8">
        <f t="shared" si="9"/>
        <v>287775</v>
      </c>
      <c r="G39" s="18">
        <f t="shared" si="10"/>
        <v>0.43587046789473105</v>
      </c>
      <c r="H39" s="19">
        <f t="shared" si="11"/>
        <v>8.1371083392213304E-3</v>
      </c>
    </row>
    <row r="40" spans="1:8" x14ac:dyDescent="0.3">
      <c r="A40" s="17" t="s">
        <v>50</v>
      </c>
      <c r="B40" s="7" t="s">
        <v>129</v>
      </c>
      <c r="C40" s="8">
        <f t="shared" si="6"/>
        <v>140402.4</v>
      </c>
      <c r="D40" s="16">
        <f t="shared" si="7"/>
        <v>92.36999999999999</v>
      </c>
      <c r="E40" s="8">
        <f t="shared" si="8"/>
        <v>15722590</v>
      </c>
      <c r="F40" s="8">
        <f t="shared" si="9"/>
        <v>1845866</v>
      </c>
      <c r="G40" s="18">
        <f t="shared" si="10"/>
        <v>0.58749862459047775</v>
      </c>
      <c r="H40" s="19">
        <f t="shared" si="11"/>
        <v>7.0521505150317507E-2</v>
      </c>
    </row>
    <row r="41" spans="1:8" x14ac:dyDescent="0.3">
      <c r="A41" s="17" t="s">
        <v>51</v>
      </c>
      <c r="B41" s="7" t="s">
        <v>130</v>
      </c>
      <c r="C41" s="8">
        <f t="shared" si="6"/>
        <v>70087.199999999997</v>
      </c>
      <c r="D41" s="16">
        <f t="shared" si="7"/>
        <v>46.11</v>
      </c>
      <c r="E41" s="8">
        <f t="shared" si="8"/>
        <v>9174388</v>
      </c>
      <c r="F41" s="8">
        <f t="shared" si="9"/>
        <v>1154769</v>
      </c>
      <c r="G41" s="18">
        <f t="shared" si="10"/>
        <v>0.50259483248364911</v>
      </c>
      <c r="H41" s="19">
        <f t="shared" si="11"/>
        <v>3.5203492502772986E-2</v>
      </c>
    </row>
    <row r="42" spans="1:8" x14ac:dyDescent="0.3">
      <c r="A42" s="17" t="s">
        <v>52</v>
      </c>
      <c r="B42" s="7" t="s">
        <v>131</v>
      </c>
      <c r="C42" s="8">
        <f t="shared" si="6"/>
        <v>21161.7</v>
      </c>
      <c r="D42" s="16">
        <f t="shared" si="7"/>
        <v>13.92217105263158</v>
      </c>
      <c r="E42" s="8">
        <f t="shared" si="8"/>
        <v>3025109</v>
      </c>
      <c r="F42" s="8">
        <f t="shared" si="9"/>
        <v>383615</v>
      </c>
      <c r="G42" s="18">
        <f t="shared" si="10"/>
        <v>0.46022047644007469</v>
      </c>
      <c r="H42" s="19">
        <f t="shared" si="11"/>
        <v>1.0629126963210559E-2</v>
      </c>
    </row>
    <row r="43" spans="1:8" x14ac:dyDescent="0.3">
      <c r="A43" s="17" t="s">
        <v>53</v>
      </c>
      <c r="B43" s="7" t="s">
        <v>132</v>
      </c>
      <c r="C43" s="8">
        <f t="shared" si="6"/>
        <v>26658.6</v>
      </c>
      <c r="D43" s="16">
        <f t="shared" si="7"/>
        <v>17.538552631578945</v>
      </c>
      <c r="E43" s="8">
        <f t="shared" si="8"/>
        <v>3384804</v>
      </c>
      <c r="F43" s="8">
        <f t="shared" si="9"/>
        <v>335814</v>
      </c>
      <c r="G43" s="18">
        <f t="shared" si="10"/>
        <v>0.51815563416903743</v>
      </c>
      <c r="H43" s="19">
        <f t="shared" si="11"/>
        <v>1.3390117243011901E-2</v>
      </c>
    </row>
    <row r="44" spans="1:8" x14ac:dyDescent="0.3">
      <c r="A44" s="17" t="s">
        <v>54</v>
      </c>
      <c r="B44" s="7" t="s">
        <v>133</v>
      </c>
      <c r="C44" s="8">
        <f t="shared" si="6"/>
        <v>91319.7</v>
      </c>
      <c r="D44" s="16">
        <f t="shared" si="7"/>
        <v>60.078749999999999</v>
      </c>
      <c r="E44" s="8">
        <f t="shared" si="8"/>
        <v>10290047</v>
      </c>
      <c r="F44" s="8">
        <f t="shared" si="9"/>
        <v>1098760</v>
      </c>
      <c r="G44" s="18">
        <f t="shared" si="10"/>
        <v>0.58385301835841952</v>
      </c>
      <c r="H44" s="19">
        <f t="shared" si="11"/>
        <v>4.5868180984623128E-2</v>
      </c>
    </row>
    <row r="45" spans="1:8" x14ac:dyDescent="0.3">
      <c r="A45" s="17" t="s">
        <v>55</v>
      </c>
      <c r="B45" s="7" t="s">
        <v>134</v>
      </c>
      <c r="C45" s="8">
        <f t="shared" si="6"/>
        <v>8635.7999999999993</v>
      </c>
      <c r="D45" s="16">
        <f t="shared" si="7"/>
        <v>5.6814473684210522</v>
      </c>
      <c r="E45" s="8">
        <f t="shared" si="8"/>
        <v>886783</v>
      </c>
      <c r="F45" s="8">
        <f t="shared" si="9"/>
        <v>89969</v>
      </c>
      <c r="G45" s="18">
        <f t="shared" si="10"/>
        <v>0.64068068156708602</v>
      </c>
      <c r="H45" s="19">
        <f t="shared" si="11"/>
        <v>4.3376011676232876E-3</v>
      </c>
    </row>
    <row r="46" spans="1:8" x14ac:dyDescent="0.3">
      <c r="A46" s="17" t="s">
        <v>56</v>
      </c>
      <c r="B46" s="7" t="s">
        <v>135</v>
      </c>
      <c r="C46" s="8">
        <f t="shared" si="6"/>
        <v>29904.6</v>
      </c>
      <c r="D46" s="16">
        <f t="shared" si="7"/>
        <v>19.674078947368422</v>
      </c>
      <c r="E46" s="8">
        <f t="shared" si="8"/>
        <v>4073613</v>
      </c>
      <c r="F46" s="8">
        <f t="shared" si="9"/>
        <v>538976</v>
      </c>
      <c r="G46" s="18">
        <f t="shared" si="10"/>
        <v>0.48296386886452941</v>
      </c>
      <c r="H46" s="19">
        <f t="shared" si="11"/>
        <v>1.5020522461996271E-2</v>
      </c>
    </row>
    <row r="47" spans="1:8" x14ac:dyDescent="0.3">
      <c r="A47" s="17" t="s">
        <v>57</v>
      </c>
      <c r="B47" s="7" t="s">
        <v>136</v>
      </c>
      <c r="C47" s="8">
        <f t="shared" si="6"/>
        <v>6298.5</v>
      </c>
      <c r="D47" s="16">
        <f t="shared" si="7"/>
        <v>4.1437499999999998</v>
      </c>
      <c r="E47" s="8">
        <f t="shared" si="8"/>
        <v>674947</v>
      </c>
      <c r="F47" s="8">
        <f t="shared" si="9"/>
        <v>68904</v>
      </c>
      <c r="G47" s="18">
        <f t="shared" si="10"/>
        <v>0.61393709431999843</v>
      </c>
      <c r="H47" s="19">
        <f t="shared" si="11"/>
        <v>3.163618999313935E-3</v>
      </c>
    </row>
    <row r="48" spans="1:8" x14ac:dyDescent="0.3">
      <c r="A48" s="17" t="s">
        <v>58</v>
      </c>
      <c r="B48" s="7" t="s">
        <v>137</v>
      </c>
      <c r="C48" s="8">
        <f t="shared" si="6"/>
        <v>43564.5</v>
      </c>
      <c r="D48" s="16">
        <f t="shared" si="7"/>
        <v>28.660855263157895</v>
      </c>
      <c r="E48" s="8">
        <f t="shared" si="8"/>
        <v>5434544</v>
      </c>
      <c r="F48" s="8">
        <f t="shared" si="9"/>
        <v>707837</v>
      </c>
      <c r="G48" s="18">
        <f t="shared" si="10"/>
        <v>0.52738289106055436</v>
      </c>
      <c r="H48" s="19">
        <f t="shared" si="11"/>
        <v>2.1881635293420961E-2</v>
      </c>
    </row>
    <row r="49" spans="1:8" x14ac:dyDescent="0.3">
      <c r="A49" s="17" t="s">
        <v>59</v>
      </c>
      <c r="B49" s="7" t="s">
        <v>138</v>
      </c>
      <c r="C49" s="8">
        <f t="shared" si="6"/>
        <v>138944.4</v>
      </c>
      <c r="D49" s="16">
        <f t="shared" si="7"/>
        <v>91.410789473684204</v>
      </c>
      <c r="E49" s="8">
        <f t="shared" si="8"/>
        <v>22052508</v>
      </c>
      <c r="F49" s="8">
        <f t="shared" si="9"/>
        <v>2671379</v>
      </c>
      <c r="G49" s="18">
        <f t="shared" si="10"/>
        <v>0.41451425603692882</v>
      </c>
      <c r="H49" s="19">
        <f t="shared" si="11"/>
        <v>6.9789178961383674E-2</v>
      </c>
    </row>
    <row r="50" spans="1:8" x14ac:dyDescent="0.3">
      <c r="A50" s="17" t="s">
        <v>60</v>
      </c>
      <c r="B50" s="7" t="s">
        <v>139</v>
      </c>
      <c r="C50" s="8">
        <f t="shared" si="6"/>
        <v>14999.4</v>
      </c>
      <c r="D50" s="16">
        <f t="shared" si="7"/>
        <v>9.8680263157894732</v>
      </c>
      <c r="E50" s="8">
        <f t="shared" si="8"/>
        <v>2390732</v>
      </c>
      <c r="F50" s="8">
        <f t="shared" si="9"/>
        <v>202645</v>
      </c>
      <c r="G50" s="18">
        <f t="shared" si="10"/>
        <v>0.41276171129969708</v>
      </c>
      <c r="H50" s="19">
        <f t="shared" si="11"/>
        <v>7.5339186819575197E-3</v>
      </c>
    </row>
    <row r="51" spans="1:8" x14ac:dyDescent="0.3">
      <c r="A51" s="17" t="s">
        <v>61</v>
      </c>
      <c r="B51" s="7" t="s">
        <v>140</v>
      </c>
      <c r="C51" s="8">
        <f t="shared" si="6"/>
        <v>50645.7</v>
      </c>
      <c r="D51" s="16">
        <f t="shared" si="7"/>
        <v>33.319539473684209</v>
      </c>
      <c r="E51" s="8">
        <f t="shared" si="8"/>
        <v>6757448</v>
      </c>
      <c r="F51" s="8">
        <f t="shared" si="9"/>
        <v>752097</v>
      </c>
      <c r="G51" s="18">
        <f t="shared" si="10"/>
        <v>0.49307874028308041</v>
      </c>
      <c r="H51" s="19">
        <f t="shared" si="11"/>
        <v>2.543838989498353E-2</v>
      </c>
    </row>
    <row r="52" spans="1:8" x14ac:dyDescent="0.3">
      <c r="A52" s="17" t="s">
        <v>62</v>
      </c>
      <c r="B52" s="7" t="s">
        <v>141</v>
      </c>
      <c r="C52" s="8">
        <f t="shared" si="6"/>
        <v>4508.1000000000004</v>
      </c>
      <c r="D52" s="16">
        <f t="shared" si="7"/>
        <v>2.9658552631578949</v>
      </c>
      <c r="E52" s="8">
        <f t="shared" si="8"/>
        <v>528594</v>
      </c>
      <c r="F52" s="8">
        <f t="shared" si="9"/>
        <v>46185</v>
      </c>
      <c r="G52" s="18">
        <f t="shared" si="10"/>
        <v>0.56108379269494069</v>
      </c>
      <c r="H52" s="19">
        <f t="shared" si="11"/>
        <v>2.2643344940552752E-3</v>
      </c>
    </row>
    <row r="53" spans="1:8" x14ac:dyDescent="0.3">
      <c r="A53" s="17" t="s">
        <v>63</v>
      </c>
      <c r="B53" s="7" t="s">
        <v>142</v>
      </c>
      <c r="C53" s="8">
        <f t="shared" si="6"/>
        <v>47452.800000000003</v>
      </c>
      <c r="D53" s="16">
        <f t="shared" si="7"/>
        <v>31.218947368421055</v>
      </c>
      <c r="E53" s="8">
        <f t="shared" si="8"/>
        <v>6062570</v>
      </c>
      <c r="F53" s="8">
        <f t="shared" si="9"/>
        <v>558613</v>
      </c>
      <c r="G53" s="18">
        <f t="shared" si="10"/>
        <v>0.51494576340431619</v>
      </c>
      <c r="H53" s="19">
        <f t="shared" si="11"/>
        <v>2.3834655814978855E-2</v>
      </c>
    </row>
    <row r="54" spans="1:8" x14ac:dyDescent="0.3">
      <c r="A54" s="17" t="s">
        <v>64</v>
      </c>
      <c r="B54" s="7" t="s">
        <v>143</v>
      </c>
      <c r="C54" s="8">
        <f t="shared" si="6"/>
        <v>38694</v>
      </c>
      <c r="D54" s="16">
        <f t="shared" si="7"/>
        <v>25.456578947368421</v>
      </c>
      <c r="E54" s="8">
        <f t="shared" si="8"/>
        <v>4621152</v>
      </c>
      <c r="F54" s="8">
        <f t="shared" si="9"/>
        <v>435925</v>
      </c>
      <c r="G54" s="18">
        <f t="shared" si="10"/>
        <v>0.55087084232175054</v>
      </c>
      <c r="H54" s="19">
        <f t="shared" si="11"/>
        <v>1.9435274042939335E-2</v>
      </c>
    </row>
    <row r="55" spans="1:8" x14ac:dyDescent="0.3">
      <c r="A55" s="17" t="s">
        <v>65</v>
      </c>
      <c r="B55" s="7" t="s">
        <v>144</v>
      </c>
      <c r="C55" s="8">
        <f t="shared" si="6"/>
        <v>13412.7</v>
      </c>
      <c r="D55" s="16">
        <f t="shared" si="7"/>
        <v>8.824144736842106</v>
      </c>
      <c r="E55" s="8">
        <f t="shared" si="8"/>
        <v>1423928</v>
      </c>
      <c r="F55" s="8">
        <f t="shared" si="9"/>
        <v>208693</v>
      </c>
      <c r="G55" s="18">
        <f t="shared" si="10"/>
        <v>0.61970441882188609</v>
      </c>
      <c r="H55" s="19">
        <f t="shared" si="11"/>
        <v>6.7369488849881752E-3</v>
      </c>
    </row>
    <row r="56" spans="1:8" x14ac:dyDescent="0.3">
      <c r="A56" s="17" t="s">
        <v>66</v>
      </c>
      <c r="B56" s="7" t="s">
        <v>145</v>
      </c>
      <c r="C56" s="8">
        <f t="shared" si="6"/>
        <v>3097.2</v>
      </c>
      <c r="D56" s="16">
        <f t="shared" si="7"/>
        <v>2.0376315789473685</v>
      </c>
      <c r="E56" s="8">
        <f t="shared" si="8"/>
        <v>446379</v>
      </c>
      <c r="F56" s="8">
        <f t="shared" si="9"/>
        <v>43072</v>
      </c>
      <c r="G56" s="18">
        <f t="shared" si="10"/>
        <v>0.45648016124131474</v>
      </c>
      <c r="H56" s="19">
        <f t="shared" si="11"/>
        <v>1.555665756080832E-3</v>
      </c>
    </row>
    <row r="57" spans="1:8" x14ac:dyDescent="0.3">
      <c r="B57" s="9" t="s">
        <v>146</v>
      </c>
      <c r="C57" s="11">
        <f>SUM(C6:C56)</f>
        <v>1990916.1</v>
      </c>
      <c r="D57" s="20">
        <f>SUM(D6:D56)</f>
        <v>1309.81322368421</v>
      </c>
      <c r="E57" s="11">
        <f>SUM(E6:E56)</f>
        <v>258327312</v>
      </c>
      <c r="F57" s="11">
        <f>SUM(F6:F56)</f>
        <v>29671699</v>
      </c>
      <c r="G57" s="21">
        <f>D57/E57*100000</f>
        <v>0.50703629188237365</v>
      </c>
      <c r="H57" s="22">
        <f>SUM(H6:H56)</f>
        <v>1.0000000000000004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6672"/>
  </sheetPr>
  <dimension ref="B1:E12"/>
  <sheetViews>
    <sheetView showGridLines="0" workbookViewId="0"/>
  </sheetViews>
  <sheetFormatPr defaultRowHeight="14.4" x14ac:dyDescent="0.3"/>
  <cols>
    <col min="1" max="1" width="3.6640625" customWidth="1"/>
    <col min="2" max="2" width="64.6640625" customWidth="1"/>
    <col min="3" max="4" width="24.6640625" customWidth="1"/>
    <col min="5" max="5" width="12.6640625" customWidth="1"/>
  </cols>
  <sheetData>
    <row r="1" spans="2:5" ht="23.4" x14ac:dyDescent="0.45">
      <c r="B1" s="1" t="s">
        <v>147</v>
      </c>
    </row>
    <row r="4" spans="2:5" x14ac:dyDescent="0.3">
      <c r="B4" s="23" t="s">
        <v>148</v>
      </c>
      <c r="C4" s="23" t="s">
        <v>149</v>
      </c>
      <c r="D4" s="23" t="s">
        <v>150</v>
      </c>
      <c r="E4" s="23" t="s">
        <v>151</v>
      </c>
    </row>
    <row r="5" spans="2:5" x14ac:dyDescent="0.3">
      <c r="B5" s="7" t="s">
        <v>152</v>
      </c>
      <c r="C5" s="17" t="str">
        <f>Franchise</f>
        <v>diabetes</v>
      </c>
      <c r="D5" s="17" t="s">
        <v>153</v>
      </c>
      <c r="E5" s="24" t="str">
        <f>IF(OR(C5="diabetes",C5="oncology"),"OK","CHECK")</f>
        <v>OK</v>
      </c>
    </row>
    <row r="6" spans="2:5" x14ac:dyDescent="0.3">
      <c r="B6" s="7" t="s">
        <v>154</v>
      </c>
      <c r="C6" s="17">
        <f>ABS(Sizing!C4-Sizing!G16/Capacity)</f>
        <v>6.8212102632969618E-13</v>
      </c>
      <c r="D6" s="17" t="s">
        <v>155</v>
      </c>
      <c r="E6" s="24" t="str">
        <f>IF(C6&lt;0.000001,"OK","CHECK")</f>
        <v>OK</v>
      </c>
    </row>
    <row r="7" spans="2:5" x14ac:dyDescent="0.3">
      <c r="B7" s="7" t="s">
        <v>156</v>
      </c>
      <c r="C7" s="17" t="str">
        <f>MIN(seg_share)&amp;" to "&amp;MAX(seg_share)</f>
        <v>0.25 to 0.6</v>
      </c>
      <c r="D7" s="17" t="s">
        <v>157</v>
      </c>
      <c r="E7" s="24" t="str">
        <f>IF(AND(MIN(seg_share)&gt;=0,MAX(seg_share)&lt;=1),"OK","CHECK")</f>
        <v>OK</v>
      </c>
    </row>
    <row r="8" spans="2:5" x14ac:dyDescent="0.3">
      <c r="B8" s="7" t="s">
        <v>158</v>
      </c>
      <c r="C8" s="17">
        <f>Capacity</f>
        <v>1520</v>
      </c>
      <c r="D8" s="17" t="s">
        <v>159</v>
      </c>
      <c r="E8" s="24" t="str">
        <f>IF(Capacity&gt;0,"OK","CHECK")</f>
        <v>OK</v>
      </c>
    </row>
    <row r="9" spans="2:5" x14ac:dyDescent="0.3">
      <c r="B9" s="7" t="s">
        <v>160</v>
      </c>
      <c r="C9" s="17">
        <f>SUMIFS(d_prov,d_fr,Franchise)</f>
        <v>919249</v>
      </c>
      <c r="D9" s="17" t="s">
        <v>161</v>
      </c>
      <c r="E9" s="24" t="str">
        <f>IF(C9=IF(Franchise="diabetes",919249,33325),"OK","CHECK")</f>
        <v>OK</v>
      </c>
    </row>
    <row r="10" spans="2:5" x14ac:dyDescent="0.3">
      <c r="B10" s="7" t="s">
        <v>162</v>
      </c>
      <c r="C10" s="17">
        <f>COUNTA(States!A6:A56)</f>
        <v>51</v>
      </c>
      <c r="D10" s="17" t="s">
        <v>163</v>
      </c>
      <c r="E10" s="24" t="str">
        <f>IF(C10=51,"OK","CHECK")</f>
        <v>OK</v>
      </c>
    </row>
    <row r="12" spans="2:5" x14ac:dyDescent="0.3">
      <c r="B12" s="9" t="s">
        <v>164</v>
      </c>
      <c r="E12" s="25" t="str">
        <f>IF(COUNTIF(E5:E10,"OK")=ROWS(E5:E10),"ALL OK","CHECK")</f>
        <v>ALL OK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A3B8"/>
  </sheetPr>
  <dimension ref="A1:H20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1.6640625" customWidth="1"/>
    <col min="3" max="4" width="26.6640625" customWidth="1"/>
    <col min="5" max="8" width="18.6640625" customWidth="1"/>
  </cols>
  <sheetData>
    <row r="1" spans="1:8" ht="27.6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8">
        <v>10</v>
      </c>
      <c r="F2" s="16">
        <f t="shared" ref="F2:F65" si="0">INDEX(seg_calls,MATCH($C2,seg_names,0))</f>
        <v>24</v>
      </c>
      <c r="G2" s="15">
        <f t="shared" ref="G2:G65" si="1">INDEX(seg_share,MATCH($C2,seg_names,0))</f>
        <v>0.6</v>
      </c>
      <c r="H2" s="16">
        <f t="shared" ref="H2:H65" si="2">$E2*$F2*$G2</f>
        <v>144</v>
      </c>
    </row>
    <row r="3" spans="1:8" x14ac:dyDescent="0.3">
      <c r="A3" t="s">
        <v>8</v>
      </c>
      <c r="B3" t="s">
        <v>9</v>
      </c>
      <c r="C3" t="s">
        <v>12</v>
      </c>
      <c r="D3" t="s">
        <v>13</v>
      </c>
      <c r="E3" s="8">
        <v>1676</v>
      </c>
      <c r="F3" s="16">
        <f t="shared" si="0"/>
        <v>6</v>
      </c>
      <c r="G3" s="15">
        <f t="shared" si="1"/>
        <v>0.25</v>
      </c>
      <c r="H3" s="16">
        <f t="shared" si="2"/>
        <v>2514</v>
      </c>
    </row>
    <row r="4" spans="1:8" x14ac:dyDescent="0.3">
      <c r="A4" t="s">
        <v>8</v>
      </c>
      <c r="B4" t="s">
        <v>9</v>
      </c>
      <c r="C4" t="s">
        <v>14</v>
      </c>
      <c r="D4" t="s">
        <v>13</v>
      </c>
      <c r="E4" s="8">
        <v>943</v>
      </c>
      <c r="F4" s="16">
        <f t="shared" si="0"/>
        <v>12</v>
      </c>
      <c r="G4" s="15">
        <f t="shared" si="1"/>
        <v>0.25</v>
      </c>
      <c r="H4" s="16">
        <f t="shared" si="2"/>
        <v>2829</v>
      </c>
    </row>
    <row r="5" spans="1:8" x14ac:dyDescent="0.3">
      <c r="A5" t="s">
        <v>8</v>
      </c>
      <c r="B5" t="s">
        <v>15</v>
      </c>
      <c r="C5" t="s">
        <v>16</v>
      </c>
      <c r="D5" t="s">
        <v>11</v>
      </c>
      <c r="E5" s="8">
        <v>45</v>
      </c>
      <c r="F5" s="16">
        <f t="shared" si="0"/>
        <v>18</v>
      </c>
      <c r="G5" s="15">
        <f t="shared" si="1"/>
        <v>0.6</v>
      </c>
      <c r="H5" s="16">
        <f t="shared" si="2"/>
        <v>486</v>
      </c>
    </row>
    <row r="6" spans="1:8" x14ac:dyDescent="0.3">
      <c r="A6" t="s">
        <v>17</v>
      </c>
      <c r="B6" t="s">
        <v>9</v>
      </c>
      <c r="C6" t="s">
        <v>10</v>
      </c>
      <c r="D6" t="s">
        <v>11</v>
      </c>
      <c r="E6" s="8">
        <v>89</v>
      </c>
      <c r="F6" s="16">
        <f t="shared" si="0"/>
        <v>24</v>
      </c>
      <c r="G6" s="15">
        <f t="shared" si="1"/>
        <v>0.6</v>
      </c>
      <c r="H6" s="16">
        <f t="shared" si="2"/>
        <v>1281.5999999999999</v>
      </c>
    </row>
    <row r="7" spans="1:8" x14ac:dyDescent="0.3">
      <c r="A7" t="s">
        <v>17</v>
      </c>
      <c r="B7" t="s">
        <v>9</v>
      </c>
      <c r="C7" t="s">
        <v>12</v>
      </c>
      <c r="D7" t="s">
        <v>13</v>
      </c>
      <c r="E7" s="8">
        <v>7997</v>
      </c>
      <c r="F7" s="16">
        <f t="shared" si="0"/>
        <v>6</v>
      </c>
      <c r="G7" s="15">
        <f t="shared" si="1"/>
        <v>0.25</v>
      </c>
      <c r="H7" s="16">
        <f t="shared" si="2"/>
        <v>11995.5</v>
      </c>
    </row>
    <row r="8" spans="1:8" x14ac:dyDescent="0.3">
      <c r="A8" t="s">
        <v>17</v>
      </c>
      <c r="B8" t="s">
        <v>9</v>
      </c>
      <c r="C8" t="s">
        <v>14</v>
      </c>
      <c r="D8" t="s">
        <v>13</v>
      </c>
      <c r="E8" s="8">
        <v>3911</v>
      </c>
      <c r="F8" s="16">
        <f t="shared" si="0"/>
        <v>12</v>
      </c>
      <c r="G8" s="15">
        <f t="shared" si="1"/>
        <v>0.25</v>
      </c>
      <c r="H8" s="16">
        <f t="shared" si="2"/>
        <v>11733</v>
      </c>
    </row>
    <row r="9" spans="1:8" x14ac:dyDescent="0.3">
      <c r="A9" t="s">
        <v>17</v>
      </c>
      <c r="B9" t="s">
        <v>15</v>
      </c>
      <c r="C9" t="s">
        <v>16</v>
      </c>
      <c r="D9" t="s">
        <v>11</v>
      </c>
      <c r="E9" s="8">
        <v>396</v>
      </c>
      <c r="F9" s="16">
        <f t="shared" si="0"/>
        <v>18</v>
      </c>
      <c r="G9" s="15">
        <f t="shared" si="1"/>
        <v>0.6</v>
      </c>
      <c r="H9" s="16">
        <f t="shared" si="2"/>
        <v>4276.8</v>
      </c>
    </row>
    <row r="10" spans="1:8" x14ac:dyDescent="0.3">
      <c r="A10" t="s">
        <v>18</v>
      </c>
      <c r="B10" t="s">
        <v>9</v>
      </c>
      <c r="C10" t="s">
        <v>10</v>
      </c>
      <c r="D10" t="s">
        <v>11</v>
      </c>
      <c r="E10" s="8">
        <v>58</v>
      </c>
      <c r="F10" s="16">
        <f t="shared" si="0"/>
        <v>24</v>
      </c>
      <c r="G10" s="15">
        <f t="shared" si="1"/>
        <v>0.6</v>
      </c>
      <c r="H10" s="16">
        <f t="shared" si="2"/>
        <v>835.19999999999993</v>
      </c>
    </row>
    <row r="11" spans="1:8" x14ac:dyDescent="0.3">
      <c r="A11" t="s">
        <v>18</v>
      </c>
      <c r="B11" t="s">
        <v>9</v>
      </c>
      <c r="C11" t="s">
        <v>12</v>
      </c>
      <c r="D11" t="s">
        <v>13</v>
      </c>
      <c r="E11" s="8">
        <v>4666</v>
      </c>
      <c r="F11" s="16">
        <f t="shared" si="0"/>
        <v>6</v>
      </c>
      <c r="G11" s="15">
        <f t="shared" si="1"/>
        <v>0.25</v>
      </c>
      <c r="H11" s="16">
        <f t="shared" si="2"/>
        <v>6999</v>
      </c>
    </row>
    <row r="12" spans="1:8" x14ac:dyDescent="0.3">
      <c r="A12" t="s">
        <v>18</v>
      </c>
      <c r="B12" t="s">
        <v>9</v>
      </c>
      <c r="C12" t="s">
        <v>14</v>
      </c>
      <c r="D12" t="s">
        <v>13</v>
      </c>
      <c r="E12" s="8">
        <v>2619</v>
      </c>
      <c r="F12" s="16">
        <f t="shared" si="0"/>
        <v>12</v>
      </c>
      <c r="G12" s="15">
        <f t="shared" si="1"/>
        <v>0.25</v>
      </c>
      <c r="H12" s="16">
        <f t="shared" si="2"/>
        <v>7857</v>
      </c>
    </row>
    <row r="13" spans="1:8" x14ac:dyDescent="0.3">
      <c r="A13" t="s">
        <v>18</v>
      </c>
      <c r="B13" t="s">
        <v>15</v>
      </c>
      <c r="C13" t="s">
        <v>16</v>
      </c>
      <c r="D13" t="s">
        <v>11</v>
      </c>
      <c r="E13" s="8">
        <v>215</v>
      </c>
      <c r="F13" s="16">
        <f t="shared" si="0"/>
        <v>18</v>
      </c>
      <c r="G13" s="15">
        <f t="shared" si="1"/>
        <v>0.6</v>
      </c>
      <c r="H13" s="16">
        <f t="shared" si="2"/>
        <v>2322</v>
      </c>
    </row>
    <row r="14" spans="1:8" x14ac:dyDescent="0.3">
      <c r="A14" t="s">
        <v>19</v>
      </c>
      <c r="B14" t="s">
        <v>9</v>
      </c>
      <c r="C14" t="s">
        <v>10</v>
      </c>
      <c r="D14" t="s">
        <v>11</v>
      </c>
      <c r="E14" s="8">
        <v>175</v>
      </c>
      <c r="F14" s="16">
        <f t="shared" si="0"/>
        <v>24</v>
      </c>
      <c r="G14" s="15">
        <f t="shared" si="1"/>
        <v>0.6</v>
      </c>
      <c r="H14" s="16">
        <f t="shared" si="2"/>
        <v>2520</v>
      </c>
    </row>
    <row r="15" spans="1:8" x14ac:dyDescent="0.3">
      <c r="A15" t="s">
        <v>19</v>
      </c>
      <c r="B15" t="s">
        <v>9</v>
      </c>
      <c r="C15" t="s">
        <v>12</v>
      </c>
      <c r="D15" t="s">
        <v>13</v>
      </c>
      <c r="E15" s="8">
        <v>13101</v>
      </c>
      <c r="F15" s="16">
        <f t="shared" si="0"/>
        <v>6</v>
      </c>
      <c r="G15" s="15">
        <f t="shared" si="1"/>
        <v>0.25</v>
      </c>
      <c r="H15" s="16">
        <f t="shared" si="2"/>
        <v>19651.5</v>
      </c>
    </row>
    <row r="16" spans="1:8" x14ac:dyDescent="0.3">
      <c r="A16" t="s">
        <v>19</v>
      </c>
      <c r="B16" t="s">
        <v>9</v>
      </c>
      <c r="C16" t="s">
        <v>14</v>
      </c>
      <c r="D16" t="s">
        <v>13</v>
      </c>
      <c r="E16" s="8">
        <v>6394</v>
      </c>
      <c r="F16" s="16">
        <f t="shared" si="0"/>
        <v>12</v>
      </c>
      <c r="G16" s="15">
        <f t="shared" si="1"/>
        <v>0.25</v>
      </c>
      <c r="H16" s="16">
        <f t="shared" si="2"/>
        <v>19182</v>
      </c>
    </row>
    <row r="17" spans="1:8" x14ac:dyDescent="0.3">
      <c r="A17" t="s">
        <v>19</v>
      </c>
      <c r="B17" t="s">
        <v>15</v>
      </c>
      <c r="C17" t="s">
        <v>16</v>
      </c>
      <c r="D17" t="s">
        <v>11</v>
      </c>
      <c r="E17" s="8">
        <v>622</v>
      </c>
      <c r="F17" s="16">
        <f t="shared" si="0"/>
        <v>18</v>
      </c>
      <c r="G17" s="15">
        <f t="shared" si="1"/>
        <v>0.6</v>
      </c>
      <c r="H17" s="16">
        <f t="shared" si="2"/>
        <v>6717.5999999999995</v>
      </c>
    </row>
    <row r="18" spans="1:8" x14ac:dyDescent="0.3">
      <c r="A18" t="s">
        <v>20</v>
      </c>
      <c r="B18" t="s">
        <v>9</v>
      </c>
      <c r="C18" t="s">
        <v>10</v>
      </c>
      <c r="D18" t="s">
        <v>11</v>
      </c>
      <c r="E18" s="8">
        <v>1109</v>
      </c>
      <c r="F18" s="16">
        <f t="shared" si="0"/>
        <v>24</v>
      </c>
      <c r="G18" s="15">
        <f t="shared" si="1"/>
        <v>0.6</v>
      </c>
      <c r="H18" s="16">
        <f t="shared" si="2"/>
        <v>15969.599999999999</v>
      </c>
    </row>
    <row r="19" spans="1:8" x14ac:dyDescent="0.3">
      <c r="A19" t="s">
        <v>20</v>
      </c>
      <c r="B19" t="s">
        <v>9</v>
      </c>
      <c r="C19" t="s">
        <v>12</v>
      </c>
      <c r="D19" t="s">
        <v>13</v>
      </c>
      <c r="E19" s="8">
        <v>46219</v>
      </c>
      <c r="F19" s="16">
        <f t="shared" si="0"/>
        <v>6</v>
      </c>
      <c r="G19" s="15">
        <f t="shared" si="1"/>
        <v>0.25</v>
      </c>
      <c r="H19" s="16">
        <f t="shared" si="2"/>
        <v>69328.5</v>
      </c>
    </row>
    <row r="20" spans="1:8" x14ac:dyDescent="0.3">
      <c r="A20" t="s">
        <v>20</v>
      </c>
      <c r="B20" t="s">
        <v>9</v>
      </c>
      <c r="C20" t="s">
        <v>14</v>
      </c>
      <c r="D20" t="s">
        <v>13</v>
      </c>
      <c r="E20" s="8">
        <v>37760</v>
      </c>
      <c r="F20" s="16">
        <f t="shared" si="0"/>
        <v>12</v>
      </c>
      <c r="G20" s="15">
        <f t="shared" si="1"/>
        <v>0.25</v>
      </c>
      <c r="H20" s="16">
        <f t="shared" si="2"/>
        <v>113280</v>
      </c>
    </row>
    <row r="21" spans="1:8" x14ac:dyDescent="0.3">
      <c r="A21" t="s">
        <v>20</v>
      </c>
      <c r="B21" t="s">
        <v>15</v>
      </c>
      <c r="C21" t="s">
        <v>16</v>
      </c>
      <c r="D21" t="s">
        <v>11</v>
      </c>
      <c r="E21" s="8">
        <v>3477</v>
      </c>
      <c r="F21" s="16">
        <f t="shared" si="0"/>
        <v>18</v>
      </c>
      <c r="G21" s="15">
        <f t="shared" si="1"/>
        <v>0.6</v>
      </c>
      <c r="H21" s="16">
        <f t="shared" si="2"/>
        <v>37551.599999999999</v>
      </c>
    </row>
    <row r="22" spans="1:8" x14ac:dyDescent="0.3">
      <c r="A22" t="s">
        <v>21</v>
      </c>
      <c r="B22" t="s">
        <v>9</v>
      </c>
      <c r="C22" t="s">
        <v>10</v>
      </c>
      <c r="D22" t="s">
        <v>11</v>
      </c>
      <c r="E22" s="8">
        <v>147</v>
      </c>
      <c r="F22" s="16">
        <f t="shared" si="0"/>
        <v>24</v>
      </c>
      <c r="G22" s="15">
        <f t="shared" si="1"/>
        <v>0.6</v>
      </c>
      <c r="H22" s="16">
        <f t="shared" si="2"/>
        <v>2116.7999999999997</v>
      </c>
    </row>
    <row r="23" spans="1:8" x14ac:dyDescent="0.3">
      <c r="A23" t="s">
        <v>21</v>
      </c>
      <c r="B23" t="s">
        <v>9</v>
      </c>
      <c r="C23" t="s">
        <v>12</v>
      </c>
      <c r="D23" t="s">
        <v>13</v>
      </c>
      <c r="E23" s="8">
        <v>10951</v>
      </c>
      <c r="F23" s="16">
        <f t="shared" si="0"/>
        <v>6</v>
      </c>
      <c r="G23" s="15">
        <f t="shared" si="1"/>
        <v>0.25</v>
      </c>
      <c r="H23" s="16">
        <f t="shared" si="2"/>
        <v>16426.5</v>
      </c>
    </row>
    <row r="24" spans="1:8" x14ac:dyDescent="0.3">
      <c r="A24" t="s">
        <v>21</v>
      </c>
      <c r="B24" t="s">
        <v>9</v>
      </c>
      <c r="C24" t="s">
        <v>14</v>
      </c>
      <c r="D24" t="s">
        <v>13</v>
      </c>
      <c r="E24" s="8">
        <v>6093</v>
      </c>
      <c r="F24" s="16">
        <f t="shared" si="0"/>
        <v>12</v>
      </c>
      <c r="G24" s="15">
        <f t="shared" si="1"/>
        <v>0.25</v>
      </c>
      <c r="H24" s="16">
        <f t="shared" si="2"/>
        <v>18279</v>
      </c>
    </row>
    <row r="25" spans="1:8" x14ac:dyDescent="0.3">
      <c r="A25" t="s">
        <v>21</v>
      </c>
      <c r="B25" t="s">
        <v>15</v>
      </c>
      <c r="C25" t="s">
        <v>16</v>
      </c>
      <c r="D25" t="s">
        <v>11</v>
      </c>
      <c r="E25" s="8">
        <v>588</v>
      </c>
      <c r="F25" s="16">
        <f t="shared" si="0"/>
        <v>18</v>
      </c>
      <c r="G25" s="15">
        <f t="shared" si="1"/>
        <v>0.6</v>
      </c>
      <c r="H25" s="16">
        <f t="shared" si="2"/>
        <v>6350.4</v>
      </c>
    </row>
    <row r="26" spans="1:8" x14ac:dyDescent="0.3">
      <c r="A26" t="s">
        <v>22</v>
      </c>
      <c r="B26" t="s">
        <v>9</v>
      </c>
      <c r="C26" t="s">
        <v>10</v>
      </c>
      <c r="D26" t="s">
        <v>11</v>
      </c>
      <c r="E26" s="8">
        <v>191</v>
      </c>
      <c r="F26" s="16">
        <f t="shared" si="0"/>
        <v>24</v>
      </c>
      <c r="G26" s="15">
        <f t="shared" si="1"/>
        <v>0.6</v>
      </c>
      <c r="H26" s="16">
        <f t="shared" si="2"/>
        <v>2750.4</v>
      </c>
    </row>
    <row r="27" spans="1:8" x14ac:dyDescent="0.3">
      <c r="A27" t="s">
        <v>22</v>
      </c>
      <c r="B27" t="s">
        <v>9</v>
      </c>
      <c r="C27" t="s">
        <v>12</v>
      </c>
      <c r="D27" t="s">
        <v>13</v>
      </c>
      <c r="E27" s="8">
        <v>7191</v>
      </c>
      <c r="F27" s="16">
        <f t="shared" si="0"/>
        <v>6</v>
      </c>
      <c r="G27" s="15">
        <f t="shared" si="1"/>
        <v>0.25</v>
      </c>
      <c r="H27" s="16">
        <f t="shared" si="2"/>
        <v>10786.5</v>
      </c>
    </row>
    <row r="28" spans="1:8" x14ac:dyDescent="0.3">
      <c r="A28" t="s">
        <v>22</v>
      </c>
      <c r="B28" t="s">
        <v>9</v>
      </c>
      <c r="C28" t="s">
        <v>14</v>
      </c>
      <c r="D28" t="s">
        <v>13</v>
      </c>
      <c r="E28" s="8">
        <v>3537</v>
      </c>
      <c r="F28" s="16">
        <f t="shared" si="0"/>
        <v>12</v>
      </c>
      <c r="G28" s="15">
        <f t="shared" si="1"/>
        <v>0.25</v>
      </c>
      <c r="H28" s="16">
        <f t="shared" si="2"/>
        <v>10611</v>
      </c>
    </row>
    <row r="29" spans="1:8" x14ac:dyDescent="0.3">
      <c r="A29" t="s">
        <v>22</v>
      </c>
      <c r="B29" t="s">
        <v>15</v>
      </c>
      <c r="C29" t="s">
        <v>16</v>
      </c>
      <c r="D29" t="s">
        <v>11</v>
      </c>
      <c r="E29" s="8">
        <v>433</v>
      </c>
      <c r="F29" s="16">
        <f t="shared" si="0"/>
        <v>18</v>
      </c>
      <c r="G29" s="15">
        <f t="shared" si="1"/>
        <v>0.6</v>
      </c>
      <c r="H29" s="16">
        <f t="shared" si="2"/>
        <v>4676.3999999999996</v>
      </c>
    </row>
    <row r="30" spans="1:8" x14ac:dyDescent="0.3">
      <c r="A30" t="s">
        <v>23</v>
      </c>
      <c r="B30" t="s">
        <v>9</v>
      </c>
      <c r="C30" t="s">
        <v>10</v>
      </c>
      <c r="D30" t="s">
        <v>11</v>
      </c>
      <c r="E30" s="8">
        <v>52</v>
      </c>
      <c r="F30" s="16">
        <f t="shared" si="0"/>
        <v>24</v>
      </c>
      <c r="G30" s="15">
        <f t="shared" si="1"/>
        <v>0.6</v>
      </c>
      <c r="H30" s="16">
        <f t="shared" si="2"/>
        <v>748.8</v>
      </c>
    </row>
    <row r="31" spans="1:8" x14ac:dyDescent="0.3">
      <c r="A31" t="s">
        <v>23</v>
      </c>
      <c r="B31" t="s">
        <v>9</v>
      </c>
      <c r="C31" t="s">
        <v>12</v>
      </c>
      <c r="D31" t="s">
        <v>13</v>
      </c>
      <c r="E31" s="8">
        <v>1691</v>
      </c>
      <c r="F31" s="16">
        <f t="shared" si="0"/>
        <v>6</v>
      </c>
      <c r="G31" s="15">
        <f t="shared" si="1"/>
        <v>0.25</v>
      </c>
      <c r="H31" s="16">
        <f t="shared" si="2"/>
        <v>2536.5</v>
      </c>
    </row>
    <row r="32" spans="1:8" x14ac:dyDescent="0.3">
      <c r="A32" t="s">
        <v>23</v>
      </c>
      <c r="B32" t="s">
        <v>9</v>
      </c>
      <c r="C32" t="s">
        <v>14</v>
      </c>
      <c r="D32" t="s">
        <v>13</v>
      </c>
      <c r="E32" s="8">
        <v>1122</v>
      </c>
      <c r="F32" s="16">
        <f t="shared" si="0"/>
        <v>12</v>
      </c>
      <c r="G32" s="15">
        <f t="shared" si="1"/>
        <v>0.25</v>
      </c>
      <c r="H32" s="16">
        <f t="shared" si="2"/>
        <v>3366</v>
      </c>
    </row>
    <row r="33" spans="1:8" x14ac:dyDescent="0.3">
      <c r="A33" t="s">
        <v>23</v>
      </c>
      <c r="B33" t="s">
        <v>15</v>
      </c>
      <c r="C33" t="s">
        <v>16</v>
      </c>
      <c r="D33" t="s">
        <v>11</v>
      </c>
      <c r="E33" s="8">
        <v>202</v>
      </c>
      <c r="F33" s="16">
        <f t="shared" si="0"/>
        <v>18</v>
      </c>
      <c r="G33" s="15">
        <f t="shared" si="1"/>
        <v>0.6</v>
      </c>
      <c r="H33" s="16">
        <f t="shared" si="2"/>
        <v>2181.6</v>
      </c>
    </row>
    <row r="34" spans="1:8" x14ac:dyDescent="0.3">
      <c r="A34" t="s">
        <v>24</v>
      </c>
      <c r="B34" t="s">
        <v>9</v>
      </c>
      <c r="C34" t="s">
        <v>10</v>
      </c>
      <c r="D34" t="s">
        <v>11</v>
      </c>
      <c r="E34" s="8">
        <v>31</v>
      </c>
      <c r="F34" s="16">
        <f t="shared" si="0"/>
        <v>24</v>
      </c>
      <c r="G34" s="15">
        <f t="shared" si="1"/>
        <v>0.6</v>
      </c>
      <c r="H34" s="16">
        <f t="shared" si="2"/>
        <v>446.4</v>
      </c>
    </row>
    <row r="35" spans="1:8" x14ac:dyDescent="0.3">
      <c r="A35" t="s">
        <v>24</v>
      </c>
      <c r="B35" t="s">
        <v>9</v>
      </c>
      <c r="C35" t="s">
        <v>12</v>
      </c>
      <c r="D35" t="s">
        <v>13</v>
      </c>
      <c r="E35" s="8">
        <v>1934</v>
      </c>
      <c r="F35" s="16">
        <f t="shared" si="0"/>
        <v>6</v>
      </c>
      <c r="G35" s="15">
        <f t="shared" si="1"/>
        <v>0.25</v>
      </c>
      <c r="H35" s="16">
        <f t="shared" si="2"/>
        <v>2901</v>
      </c>
    </row>
    <row r="36" spans="1:8" x14ac:dyDescent="0.3">
      <c r="A36" t="s">
        <v>24</v>
      </c>
      <c r="B36" t="s">
        <v>9</v>
      </c>
      <c r="C36" t="s">
        <v>14</v>
      </c>
      <c r="D36" t="s">
        <v>13</v>
      </c>
      <c r="E36" s="8">
        <v>1024</v>
      </c>
      <c r="F36" s="16">
        <f t="shared" si="0"/>
        <v>12</v>
      </c>
      <c r="G36" s="15">
        <f t="shared" si="1"/>
        <v>0.25</v>
      </c>
      <c r="H36" s="16">
        <f t="shared" si="2"/>
        <v>3072</v>
      </c>
    </row>
    <row r="37" spans="1:8" x14ac:dyDescent="0.3">
      <c r="A37" t="s">
        <v>24</v>
      </c>
      <c r="B37" t="s">
        <v>15</v>
      </c>
      <c r="C37" t="s">
        <v>16</v>
      </c>
      <c r="D37" t="s">
        <v>11</v>
      </c>
      <c r="E37" s="8">
        <v>100</v>
      </c>
      <c r="F37" s="16">
        <f t="shared" si="0"/>
        <v>18</v>
      </c>
      <c r="G37" s="15">
        <f t="shared" si="1"/>
        <v>0.6</v>
      </c>
      <c r="H37" s="16">
        <f t="shared" si="2"/>
        <v>1080</v>
      </c>
    </row>
    <row r="38" spans="1:8" x14ac:dyDescent="0.3">
      <c r="A38" t="s">
        <v>25</v>
      </c>
      <c r="B38" t="s">
        <v>9</v>
      </c>
      <c r="C38" t="s">
        <v>10</v>
      </c>
      <c r="D38" t="s">
        <v>11</v>
      </c>
      <c r="E38" s="8">
        <v>667</v>
      </c>
      <c r="F38" s="16">
        <f t="shared" si="0"/>
        <v>24</v>
      </c>
      <c r="G38" s="15">
        <f t="shared" si="1"/>
        <v>0.6</v>
      </c>
      <c r="H38" s="16">
        <f t="shared" si="2"/>
        <v>9604.7999999999993</v>
      </c>
    </row>
    <row r="39" spans="1:8" x14ac:dyDescent="0.3">
      <c r="A39" t="s">
        <v>25</v>
      </c>
      <c r="B39" t="s">
        <v>9</v>
      </c>
      <c r="C39" t="s">
        <v>12</v>
      </c>
      <c r="D39" t="s">
        <v>13</v>
      </c>
      <c r="E39" s="8">
        <v>50281</v>
      </c>
      <c r="F39" s="16">
        <f t="shared" si="0"/>
        <v>6</v>
      </c>
      <c r="G39" s="15">
        <f t="shared" si="1"/>
        <v>0.25</v>
      </c>
      <c r="H39" s="16">
        <f t="shared" si="2"/>
        <v>75421.5</v>
      </c>
    </row>
    <row r="40" spans="1:8" x14ac:dyDescent="0.3">
      <c r="A40" t="s">
        <v>25</v>
      </c>
      <c r="B40" t="s">
        <v>9</v>
      </c>
      <c r="C40" t="s">
        <v>14</v>
      </c>
      <c r="D40" t="s">
        <v>13</v>
      </c>
      <c r="E40" s="8">
        <v>22777</v>
      </c>
      <c r="F40" s="16">
        <f t="shared" si="0"/>
        <v>12</v>
      </c>
      <c r="G40" s="15">
        <f t="shared" si="1"/>
        <v>0.25</v>
      </c>
      <c r="H40" s="16">
        <f t="shared" si="2"/>
        <v>68331</v>
      </c>
    </row>
    <row r="41" spans="1:8" x14ac:dyDescent="0.3">
      <c r="A41" t="s">
        <v>25</v>
      </c>
      <c r="B41" t="s">
        <v>15</v>
      </c>
      <c r="C41" t="s">
        <v>16</v>
      </c>
      <c r="D41" t="s">
        <v>11</v>
      </c>
      <c r="E41" s="8">
        <v>2359</v>
      </c>
      <c r="F41" s="16">
        <f t="shared" si="0"/>
        <v>18</v>
      </c>
      <c r="G41" s="15">
        <f t="shared" si="1"/>
        <v>0.6</v>
      </c>
      <c r="H41" s="16">
        <f t="shared" si="2"/>
        <v>25477.200000000001</v>
      </c>
    </row>
    <row r="42" spans="1:8" x14ac:dyDescent="0.3">
      <c r="A42" t="s">
        <v>26</v>
      </c>
      <c r="B42" t="s">
        <v>9</v>
      </c>
      <c r="C42" t="s">
        <v>10</v>
      </c>
      <c r="D42" t="s">
        <v>11</v>
      </c>
      <c r="E42" s="8">
        <v>251</v>
      </c>
      <c r="F42" s="16">
        <f t="shared" si="0"/>
        <v>24</v>
      </c>
      <c r="G42" s="15">
        <f t="shared" si="1"/>
        <v>0.6</v>
      </c>
      <c r="H42" s="16">
        <f t="shared" si="2"/>
        <v>3614.4</v>
      </c>
    </row>
    <row r="43" spans="1:8" x14ac:dyDescent="0.3">
      <c r="A43" t="s">
        <v>26</v>
      </c>
      <c r="B43" t="s">
        <v>9</v>
      </c>
      <c r="C43" t="s">
        <v>12</v>
      </c>
      <c r="D43" t="s">
        <v>13</v>
      </c>
      <c r="E43" s="8">
        <v>19326</v>
      </c>
      <c r="F43" s="16">
        <f t="shared" si="0"/>
        <v>6</v>
      </c>
      <c r="G43" s="15">
        <f t="shared" si="1"/>
        <v>0.25</v>
      </c>
      <c r="H43" s="16">
        <f t="shared" si="2"/>
        <v>28989</v>
      </c>
    </row>
    <row r="44" spans="1:8" x14ac:dyDescent="0.3">
      <c r="A44" t="s">
        <v>26</v>
      </c>
      <c r="B44" t="s">
        <v>9</v>
      </c>
      <c r="C44" t="s">
        <v>14</v>
      </c>
      <c r="D44" t="s">
        <v>13</v>
      </c>
      <c r="E44" s="8">
        <v>8373</v>
      </c>
      <c r="F44" s="16">
        <f t="shared" si="0"/>
        <v>12</v>
      </c>
      <c r="G44" s="15">
        <f t="shared" si="1"/>
        <v>0.25</v>
      </c>
      <c r="H44" s="16">
        <f t="shared" si="2"/>
        <v>25119</v>
      </c>
    </row>
    <row r="45" spans="1:8" x14ac:dyDescent="0.3">
      <c r="A45" t="s">
        <v>26</v>
      </c>
      <c r="B45" t="s">
        <v>15</v>
      </c>
      <c r="C45" t="s">
        <v>16</v>
      </c>
      <c r="D45" t="s">
        <v>11</v>
      </c>
      <c r="E45" s="8">
        <v>866</v>
      </c>
      <c r="F45" s="16">
        <f t="shared" si="0"/>
        <v>18</v>
      </c>
      <c r="G45" s="15">
        <f t="shared" si="1"/>
        <v>0.6</v>
      </c>
      <c r="H45" s="16">
        <f t="shared" si="2"/>
        <v>9352.7999999999993</v>
      </c>
    </row>
    <row r="46" spans="1:8" x14ac:dyDescent="0.3">
      <c r="A46" t="s">
        <v>27</v>
      </c>
      <c r="B46" t="s">
        <v>9</v>
      </c>
      <c r="C46" t="s">
        <v>10</v>
      </c>
      <c r="D46" t="s">
        <v>11</v>
      </c>
      <c r="E46" s="8">
        <v>26</v>
      </c>
      <c r="F46" s="16">
        <f t="shared" si="0"/>
        <v>24</v>
      </c>
      <c r="G46" s="15">
        <f t="shared" si="1"/>
        <v>0.6</v>
      </c>
      <c r="H46" s="16">
        <f t="shared" si="2"/>
        <v>374.4</v>
      </c>
    </row>
    <row r="47" spans="1:8" x14ac:dyDescent="0.3">
      <c r="A47" t="s">
        <v>27</v>
      </c>
      <c r="B47" t="s">
        <v>9</v>
      </c>
      <c r="C47" t="s">
        <v>12</v>
      </c>
      <c r="D47" t="s">
        <v>13</v>
      </c>
      <c r="E47" s="8">
        <v>1666</v>
      </c>
      <c r="F47" s="16">
        <f t="shared" si="0"/>
        <v>6</v>
      </c>
      <c r="G47" s="15">
        <f t="shared" si="1"/>
        <v>0.25</v>
      </c>
      <c r="H47" s="16">
        <f t="shared" si="2"/>
        <v>2499</v>
      </c>
    </row>
    <row r="48" spans="1:8" x14ac:dyDescent="0.3">
      <c r="A48" t="s">
        <v>27</v>
      </c>
      <c r="B48" t="s">
        <v>9</v>
      </c>
      <c r="C48" t="s">
        <v>14</v>
      </c>
      <c r="D48" t="s">
        <v>13</v>
      </c>
      <c r="E48" s="8">
        <v>1885</v>
      </c>
      <c r="F48" s="16">
        <f t="shared" si="0"/>
        <v>12</v>
      </c>
      <c r="G48" s="15">
        <f t="shared" si="1"/>
        <v>0.25</v>
      </c>
      <c r="H48" s="16">
        <f t="shared" si="2"/>
        <v>5655</v>
      </c>
    </row>
    <row r="49" spans="1:8" x14ac:dyDescent="0.3">
      <c r="A49" t="s">
        <v>27</v>
      </c>
      <c r="B49" t="s">
        <v>15</v>
      </c>
      <c r="C49" t="s">
        <v>16</v>
      </c>
      <c r="D49" t="s">
        <v>11</v>
      </c>
      <c r="E49" s="8">
        <v>114</v>
      </c>
      <c r="F49" s="16">
        <f t="shared" si="0"/>
        <v>18</v>
      </c>
      <c r="G49" s="15">
        <f t="shared" si="1"/>
        <v>0.6</v>
      </c>
      <c r="H49" s="16">
        <f t="shared" si="2"/>
        <v>1231.2</v>
      </c>
    </row>
    <row r="50" spans="1:8" x14ac:dyDescent="0.3">
      <c r="A50" t="s">
        <v>28</v>
      </c>
      <c r="B50" t="s">
        <v>9</v>
      </c>
      <c r="C50" t="s">
        <v>10</v>
      </c>
      <c r="D50" t="s">
        <v>11</v>
      </c>
      <c r="E50" s="8">
        <v>53</v>
      </c>
      <c r="F50" s="16">
        <f t="shared" si="0"/>
        <v>24</v>
      </c>
      <c r="G50" s="15">
        <f t="shared" si="1"/>
        <v>0.6</v>
      </c>
      <c r="H50" s="16">
        <f t="shared" si="2"/>
        <v>763.19999999999993</v>
      </c>
    </row>
    <row r="51" spans="1:8" x14ac:dyDescent="0.3">
      <c r="A51" t="s">
        <v>28</v>
      </c>
      <c r="B51" t="s">
        <v>9</v>
      </c>
      <c r="C51" t="s">
        <v>12</v>
      </c>
      <c r="D51" t="s">
        <v>13</v>
      </c>
      <c r="E51" s="8">
        <v>5320</v>
      </c>
      <c r="F51" s="16">
        <f t="shared" si="0"/>
        <v>6</v>
      </c>
      <c r="G51" s="15">
        <f t="shared" si="1"/>
        <v>0.25</v>
      </c>
      <c r="H51" s="16">
        <f t="shared" si="2"/>
        <v>7980</v>
      </c>
    </row>
    <row r="52" spans="1:8" x14ac:dyDescent="0.3">
      <c r="A52" t="s">
        <v>28</v>
      </c>
      <c r="B52" t="s">
        <v>9</v>
      </c>
      <c r="C52" t="s">
        <v>14</v>
      </c>
      <c r="D52" t="s">
        <v>13</v>
      </c>
      <c r="E52" s="8">
        <v>3260</v>
      </c>
      <c r="F52" s="16">
        <f t="shared" si="0"/>
        <v>12</v>
      </c>
      <c r="G52" s="15">
        <f t="shared" si="1"/>
        <v>0.25</v>
      </c>
      <c r="H52" s="16">
        <f t="shared" si="2"/>
        <v>9780</v>
      </c>
    </row>
    <row r="53" spans="1:8" x14ac:dyDescent="0.3">
      <c r="A53" t="s">
        <v>28</v>
      </c>
      <c r="B53" t="s">
        <v>15</v>
      </c>
      <c r="C53" t="s">
        <v>16</v>
      </c>
      <c r="D53" t="s">
        <v>11</v>
      </c>
      <c r="E53" s="8">
        <v>280</v>
      </c>
      <c r="F53" s="16">
        <f t="shared" si="0"/>
        <v>18</v>
      </c>
      <c r="G53" s="15">
        <f t="shared" si="1"/>
        <v>0.6</v>
      </c>
      <c r="H53" s="16">
        <f t="shared" si="2"/>
        <v>3024</v>
      </c>
    </row>
    <row r="54" spans="1:8" x14ac:dyDescent="0.3">
      <c r="A54" t="s">
        <v>29</v>
      </c>
      <c r="B54" t="s">
        <v>9</v>
      </c>
      <c r="C54" t="s">
        <v>10</v>
      </c>
      <c r="D54" t="s">
        <v>11</v>
      </c>
      <c r="E54" s="8">
        <v>22</v>
      </c>
      <c r="F54" s="16">
        <f t="shared" si="0"/>
        <v>24</v>
      </c>
      <c r="G54" s="15">
        <f t="shared" si="1"/>
        <v>0.6</v>
      </c>
      <c r="H54" s="16">
        <f t="shared" si="2"/>
        <v>316.8</v>
      </c>
    </row>
    <row r="55" spans="1:8" x14ac:dyDescent="0.3">
      <c r="A55" t="s">
        <v>29</v>
      </c>
      <c r="B55" t="s">
        <v>9</v>
      </c>
      <c r="C55" t="s">
        <v>12</v>
      </c>
      <c r="D55" t="s">
        <v>13</v>
      </c>
      <c r="E55" s="8">
        <v>3630</v>
      </c>
      <c r="F55" s="16">
        <f t="shared" si="0"/>
        <v>6</v>
      </c>
      <c r="G55" s="15">
        <f t="shared" si="1"/>
        <v>0.25</v>
      </c>
      <c r="H55" s="16">
        <f t="shared" si="2"/>
        <v>5445</v>
      </c>
    </row>
    <row r="56" spans="1:8" x14ac:dyDescent="0.3">
      <c r="A56" t="s">
        <v>29</v>
      </c>
      <c r="B56" t="s">
        <v>9</v>
      </c>
      <c r="C56" t="s">
        <v>14</v>
      </c>
      <c r="D56" t="s">
        <v>13</v>
      </c>
      <c r="E56" s="8">
        <v>1821</v>
      </c>
      <c r="F56" s="16">
        <f t="shared" si="0"/>
        <v>12</v>
      </c>
      <c r="G56" s="15">
        <f t="shared" si="1"/>
        <v>0.25</v>
      </c>
      <c r="H56" s="16">
        <f t="shared" si="2"/>
        <v>5463</v>
      </c>
    </row>
    <row r="57" spans="1:8" x14ac:dyDescent="0.3">
      <c r="A57" t="s">
        <v>29</v>
      </c>
      <c r="B57" t="s">
        <v>15</v>
      </c>
      <c r="C57" t="s">
        <v>16</v>
      </c>
      <c r="D57" t="s">
        <v>11</v>
      </c>
      <c r="E57" s="8">
        <v>103</v>
      </c>
      <c r="F57" s="16">
        <f t="shared" si="0"/>
        <v>18</v>
      </c>
      <c r="G57" s="15">
        <f t="shared" si="1"/>
        <v>0.6</v>
      </c>
      <c r="H57" s="16">
        <f t="shared" si="2"/>
        <v>1112.3999999999999</v>
      </c>
    </row>
    <row r="58" spans="1:8" x14ac:dyDescent="0.3">
      <c r="A58" t="s">
        <v>30</v>
      </c>
      <c r="B58" t="s">
        <v>9</v>
      </c>
      <c r="C58" t="s">
        <v>10</v>
      </c>
      <c r="D58" t="s">
        <v>11</v>
      </c>
      <c r="E58" s="8">
        <v>437</v>
      </c>
      <c r="F58" s="16">
        <f t="shared" si="0"/>
        <v>24</v>
      </c>
      <c r="G58" s="15">
        <f t="shared" si="1"/>
        <v>0.6</v>
      </c>
      <c r="H58" s="16">
        <f t="shared" si="2"/>
        <v>6292.8</v>
      </c>
    </row>
    <row r="59" spans="1:8" x14ac:dyDescent="0.3">
      <c r="A59" t="s">
        <v>30</v>
      </c>
      <c r="B59" t="s">
        <v>9</v>
      </c>
      <c r="C59" t="s">
        <v>12</v>
      </c>
      <c r="D59" t="s">
        <v>13</v>
      </c>
      <c r="E59" s="8">
        <v>19414</v>
      </c>
      <c r="F59" s="16">
        <f t="shared" si="0"/>
        <v>6</v>
      </c>
      <c r="G59" s="15">
        <f t="shared" si="1"/>
        <v>0.25</v>
      </c>
      <c r="H59" s="16">
        <f t="shared" si="2"/>
        <v>29121</v>
      </c>
    </row>
    <row r="60" spans="1:8" x14ac:dyDescent="0.3">
      <c r="A60" t="s">
        <v>30</v>
      </c>
      <c r="B60" t="s">
        <v>9</v>
      </c>
      <c r="C60" t="s">
        <v>14</v>
      </c>
      <c r="D60" t="s">
        <v>13</v>
      </c>
      <c r="E60" s="8">
        <v>13875</v>
      </c>
      <c r="F60" s="16">
        <f t="shared" si="0"/>
        <v>12</v>
      </c>
      <c r="G60" s="15">
        <f t="shared" si="1"/>
        <v>0.25</v>
      </c>
      <c r="H60" s="16">
        <f t="shared" si="2"/>
        <v>41625</v>
      </c>
    </row>
    <row r="61" spans="1:8" x14ac:dyDescent="0.3">
      <c r="A61" t="s">
        <v>30</v>
      </c>
      <c r="B61" t="s">
        <v>15</v>
      </c>
      <c r="C61" t="s">
        <v>16</v>
      </c>
      <c r="D61" t="s">
        <v>11</v>
      </c>
      <c r="E61" s="8">
        <v>1372</v>
      </c>
      <c r="F61" s="16">
        <f t="shared" si="0"/>
        <v>18</v>
      </c>
      <c r="G61" s="15">
        <f t="shared" si="1"/>
        <v>0.6</v>
      </c>
      <c r="H61" s="16">
        <f t="shared" si="2"/>
        <v>14817.599999999999</v>
      </c>
    </row>
    <row r="62" spans="1:8" x14ac:dyDescent="0.3">
      <c r="A62" t="s">
        <v>31</v>
      </c>
      <c r="B62" t="s">
        <v>9</v>
      </c>
      <c r="C62" t="s">
        <v>10</v>
      </c>
      <c r="D62" t="s">
        <v>11</v>
      </c>
      <c r="E62" s="8">
        <v>181</v>
      </c>
      <c r="F62" s="16">
        <f t="shared" si="0"/>
        <v>24</v>
      </c>
      <c r="G62" s="15">
        <f t="shared" si="1"/>
        <v>0.6</v>
      </c>
      <c r="H62" s="16">
        <f t="shared" si="2"/>
        <v>2606.4</v>
      </c>
    </row>
    <row r="63" spans="1:8" x14ac:dyDescent="0.3">
      <c r="A63" t="s">
        <v>31</v>
      </c>
      <c r="B63" t="s">
        <v>9</v>
      </c>
      <c r="C63" t="s">
        <v>12</v>
      </c>
      <c r="D63" t="s">
        <v>13</v>
      </c>
      <c r="E63" s="8">
        <v>12454</v>
      </c>
      <c r="F63" s="16">
        <f t="shared" si="0"/>
        <v>6</v>
      </c>
      <c r="G63" s="15">
        <f t="shared" si="1"/>
        <v>0.25</v>
      </c>
      <c r="H63" s="16">
        <f t="shared" si="2"/>
        <v>18681</v>
      </c>
    </row>
    <row r="64" spans="1:8" x14ac:dyDescent="0.3">
      <c r="A64" t="s">
        <v>31</v>
      </c>
      <c r="B64" t="s">
        <v>9</v>
      </c>
      <c r="C64" t="s">
        <v>14</v>
      </c>
      <c r="D64" t="s">
        <v>13</v>
      </c>
      <c r="E64" s="8">
        <v>5883</v>
      </c>
      <c r="F64" s="16">
        <f t="shared" si="0"/>
        <v>12</v>
      </c>
      <c r="G64" s="15">
        <f t="shared" si="1"/>
        <v>0.25</v>
      </c>
      <c r="H64" s="16">
        <f t="shared" si="2"/>
        <v>17649</v>
      </c>
    </row>
    <row r="65" spans="1:8" x14ac:dyDescent="0.3">
      <c r="A65" t="s">
        <v>31</v>
      </c>
      <c r="B65" t="s">
        <v>15</v>
      </c>
      <c r="C65" t="s">
        <v>16</v>
      </c>
      <c r="D65" t="s">
        <v>11</v>
      </c>
      <c r="E65" s="8">
        <v>581</v>
      </c>
      <c r="F65" s="16">
        <f t="shared" si="0"/>
        <v>18</v>
      </c>
      <c r="G65" s="15">
        <f t="shared" si="1"/>
        <v>0.6</v>
      </c>
      <c r="H65" s="16">
        <f t="shared" si="2"/>
        <v>6274.8</v>
      </c>
    </row>
    <row r="66" spans="1:8" x14ac:dyDescent="0.3">
      <c r="A66" t="s">
        <v>32</v>
      </c>
      <c r="B66" t="s">
        <v>9</v>
      </c>
      <c r="C66" t="s">
        <v>10</v>
      </c>
      <c r="D66" t="s">
        <v>11</v>
      </c>
      <c r="E66" s="8">
        <v>64</v>
      </c>
      <c r="F66" s="16">
        <f t="shared" ref="F66:F129" si="3">INDEX(seg_calls,MATCH($C66,seg_names,0))</f>
        <v>24</v>
      </c>
      <c r="G66" s="15">
        <f t="shared" ref="G66:G129" si="4">INDEX(seg_share,MATCH($C66,seg_names,0))</f>
        <v>0.6</v>
      </c>
      <c r="H66" s="16">
        <f t="shared" ref="H66:H129" si="5">$E66*$F66*$G66</f>
        <v>921.59999999999991</v>
      </c>
    </row>
    <row r="67" spans="1:8" x14ac:dyDescent="0.3">
      <c r="A67" t="s">
        <v>32</v>
      </c>
      <c r="B67" t="s">
        <v>9</v>
      </c>
      <c r="C67" t="s">
        <v>12</v>
      </c>
      <c r="D67" t="s">
        <v>13</v>
      </c>
      <c r="E67" s="8">
        <v>5714</v>
      </c>
      <c r="F67" s="16">
        <f t="shared" si="3"/>
        <v>6</v>
      </c>
      <c r="G67" s="15">
        <f t="shared" si="4"/>
        <v>0.25</v>
      </c>
      <c r="H67" s="16">
        <f t="shared" si="5"/>
        <v>8571</v>
      </c>
    </row>
    <row r="68" spans="1:8" x14ac:dyDescent="0.3">
      <c r="A68" t="s">
        <v>32</v>
      </c>
      <c r="B68" t="s">
        <v>9</v>
      </c>
      <c r="C68" t="s">
        <v>14</v>
      </c>
      <c r="D68" t="s">
        <v>13</v>
      </c>
      <c r="E68" s="8">
        <v>3112</v>
      </c>
      <c r="F68" s="16">
        <f t="shared" si="3"/>
        <v>12</v>
      </c>
      <c r="G68" s="15">
        <f t="shared" si="4"/>
        <v>0.25</v>
      </c>
      <c r="H68" s="16">
        <f t="shared" si="5"/>
        <v>9336</v>
      </c>
    </row>
    <row r="69" spans="1:8" x14ac:dyDescent="0.3">
      <c r="A69" t="s">
        <v>32</v>
      </c>
      <c r="B69" t="s">
        <v>15</v>
      </c>
      <c r="C69" t="s">
        <v>16</v>
      </c>
      <c r="D69" t="s">
        <v>11</v>
      </c>
      <c r="E69" s="8">
        <v>246</v>
      </c>
      <c r="F69" s="16">
        <f t="shared" si="3"/>
        <v>18</v>
      </c>
      <c r="G69" s="15">
        <f t="shared" si="4"/>
        <v>0.6</v>
      </c>
      <c r="H69" s="16">
        <f t="shared" si="5"/>
        <v>2656.7999999999997</v>
      </c>
    </row>
    <row r="70" spans="1:8" x14ac:dyDescent="0.3">
      <c r="A70" t="s">
        <v>33</v>
      </c>
      <c r="B70" t="s">
        <v>9</v>
      </c>
      <c r="C70" t="s">
        <v>10</v>
      </c>
      <c r="D70" t="s">
        <v>11</v>
      </c>
      <c r="E70" s="8">
        <v>105</v>
      </c>
      <c r="F70" s="16">
        <f t="shared" si="3"/>
        <v>24</v>
      </c>
      <c r="G70" s="15">
        <f t="shared" si="4"/>
        <v>0.6</v>
      </c>
      <c r="H70" s="16">
        <f t="shared" si="5"/>
        <v>1512</v>
      </c>
    </row>
    <row r="71" spans="1:8" x14ac:dyDescent="0.3">
      <c r="A71" t="s">
        <v>33</v>
      </c>
      <c r="B71" t="s">
        <v>9</v>
      </c>
      <c r="C71" t="s">
        <v>12</v>
      </c>
      <c r="D71" t="s">
        <v>13</v>
      </c>
      <c r="E71" s="8">
        <v>9969</v>
      </c>
      <c r="F71" s="16">
        <f t="shared" si="3"/>
        <v>6</v>
      </c>
      <c r="G71" s="15">
        <f t="shared" si="4"/>
        <v>0.25</v>
      </c>
      <c r="H71" s="16">
        <f t="shared" si="5"/>
        <v>14953.5</v>
      </c>
    </row>
    <row r="72" spans="1:8" x14ac:dyDescent="0.3">
      <c r="A72" t="s">
        <v>33</v>
      </c>
      <c r="B72" t="s">
        <v>9</v>
      </c>
      <c r="C72" t="s">
        <v>14</v>
      </c>
      <c r="D72" t="s">
        <v>13</v>
      </c>
      <c r="E72" s="8">
        <v>3602</v>
      </c>
      <c r="F72" s="16">
        <f t="shared" si="3"/>
        <v>12</v>
      </c>
      <c r="G72" s="15">
        <f t="shared" si="4"/>
        <v>0.25</v>
      </c>
      <c r="H72" s="16">
        <f t="shared" si="5"/>
        <v>10806</v>
      </c>
    </row>
    <row r="73" spans="1:8" x14ac:dyDescent="0.3">
      <c r="A73" t="s">
        <v>33</v>
      </c>
      <c r="B73" t="s">
        <v>15</v>
      </c>
      <c r="C73" t="s">
        <v>16</v>
      </c>
      <c r="D73" t="s">
        <v>11</v>
      </c>
      <c r="E73" s="8">
        <v>381</v>
      </c>
      <c r="F73" s="16">
        <f t="shared" si="3"/>
        <v>18</v>
      </c>
      <c r="G73" s="15">
        <f t="shared" si="4"/>
        <v>0.6</v>
      </c>
      <c r="H73" s="16">
        <f t="shared" si="5"/>
        <v>4114.8</v>
      </c>
    </row>
    <row r="74" spans="1:8" x14ac:dyDescent="0.3">
      <c r="A74" t="s">
        <v>34</v>
      </c>
      <c r="B74" t="s">
        <v>9</v>
      </c>
      <c r="C74" t="s">
        <v>10</v>
      </c>
      <c r="D74" t="s">
        <v>11</v>
      </c>
      <c r="E74" s="8">
        <v>108</v>
      </c>
      <c r="F74" s="16">
        <f t="shared" si="3"/>
        <v>24</v>
      </c>
      <c r="G74" s="15">
        <f t="shared" si="4"/>
        <v>0.6</v>
      </c>
      <c r="H74" s="16">
        <f t="shared" si="5"/>
        <v>1555.2</v>
      </c>
    </row>
    <row r="75" spans="1:8" x14ac:dyDescent="0.3">
      <c r="A75" t="s">
        <v>34</v>
      </c>
      <c r="B75" t="s">
        <v>9</v>
      </c>
      <c r="C75" t="s">
        <v>12</v>
      </c>
      <c r="D75" t="s">
        <v>13</v>
      </c>
      <c r="E75" s="8">
        <v>7821</v>
      </c>
      <c r="F75" s="16">
        <f t="shared" si="3"/>
        <v>6</v>
      </c>
      <c r="G75" s="15">
        <f t="shared" si="4"/>
        <v>0.25</v>
      </c>
      <c r="H75" s="16">
        <f t="shared" si="5"/>
        <v>11731.5</v>
      </c>
    </row>
    <row r="76" spans="1:8" x14ac:dyDescent="0.3">
      <c r="A76" t="s">
        <v>34</v>
      </c>
      <c r="B76" t="s">
        <v>9</v>
      </c>
      <c r="C76" t="s">
        <v>14</v>
      </c>
      <c r="D76" t="s">
        <v>13</v>
      </c>
      <c r="E76" s="8">
        <v>3696</v>
      </c>
      <c r="F76" s="16">
        <f t="shared" si="3"/>
        <v>12</v>
      </c>
      <c r="G76" s="15">
        <f t="shared" si="4"/>
        <v>0.25</v>
      </c>
      <c r="H76" s="16">
        <f t="shared" si="5"/>
        <v>11088</v>
      </c>
    </row>
    <row r="77" spans="1:8" x14ac:dyDescent="0.3">
      <c r="A77" t="s">
        <v>34</v>
      </c>
      <c r="B77" t="s">
        <v>15</v>
      </c>
      <c r="C77" t="s">
        <v>16</v>
      </c>
      <c r="D77" t="s">
        <v>11</v>
      </c>
      <c r="E77" s="8">
        <v>354</v>
      </c>
      <c r="F77" s="16">
        <f t="shared" si="3"/>
        <v>18</v>
      </c>
      <c r="G77" s="15">
        <f t="shared" si="4"/>
        <v>0.6</v>
      </c>
      <c r="H77" s="16">
        <f t="shared" si="5"/>
        <v>3823.2</v>
      </c>
    </row>
    <row r="78" spans="1:8" x14ac:dyDescent="0.3">
      <c r="A78" t="s">
        <v>35</v>
      </c>
      <c r="B78" t="s">
        <v>9</v>
      </c>
      <c r="C78" t="s">
        <v>10</v>
      </c>
      <c r="D78" t="s">
        <v>11</v>
      </c>
      <c r="E78" s="8">
        <v>474</v>
      </c>
      <c r="F78" s="16">
        <f t="shared" si="3"/>
        <v>24</v>
      </c>
      <c r="G78" s="15">
        <f t="shared" si="4"/>
        <v>0.6</v>
      </c>
      <c r="H78" s="16">
        <f t="shared" si="5"/>
        <v>6825.5999999999995</v>
      </c>
    </row>
    <row r="79" spans="1:8" x14ac:dyDescent="0.3">
      <c r="A79" t="s">
        <v>35</v>
      </c>
      <c r="B79" t="s">
        <v>9</v>
      </c>
      <c r="C79" t="s">
        <v>12</v>
      </c>
      <c r="D79" t="s">
        <v>13</v>
      </c>
      <c r="E79" s="8">
        <v>15137</v>
      </c>
      <c r="F79" s="16">
        <f t="shared" si="3"/>
        <v>6</v>
      </c>
      <c r="G79" s="15">
        <f t="shared" si="4"/>
        <v>0.25</v>
      </c>
      <c r="H79" s="16">
        <f t="shared" si="5"/>
        <v>22705.5</v>
      </c>
    </row>
    <row r="80" spans="1:8" x14ac:dyDescent="0.3">
      <c r="A80" t="s">
        <v>35</v>
      </c>
      <c r="B80" t="s">
        <v>9</v>
      </c>
      <c r="C80" t="s">
        <v>14</v>
      </c>
      <c r="D80" t="s">
        <v>13</v>
      </c>
      <c r="E80" s="8">
        <v>9249</v>
      </c>
      <c r="F80" s="16">
        <f t="shared" si="3"/>
        <v>12</v>
      </c>
      <c r="G80" s="15">
        <f t="shared" si="4"/>
        <v>0.25</v>
      </c>
      <c r="H80" s="16">
        <f t="shared" si="5"/>
        <v>27747</v>
      </c>
    </row>
    <row r="81" spans="1:8" x14ac:dyDescent="0.3">
      <c r="A81" t="s">
        <v>35</v>
      </c>
      <c r="B81" t="s">
        <v>15</v>
      </c>
      <c r="C81" t="s">
        <v>16</v>
      </c>
      <c r="D81" t="s">
        <v>11</v>
      </c>
      <c r="E81" s="8">
        <v>1339</v>
      </c>
      <c r="F81" s="16">
        <f t="shared" si="3"/>
        <v>18</v>
      </c>
      <c r="G81" s="15">
        <f t="shared" si="4"/>
        <v>0.6</v>
      </c>
      <c r="H81" s="16">
        <f t="shared" si="5"/>
        <v>14461.199999999999</v>
      </c>
    </row>
    <row r="82" spans="1:8" x14ac:dyDescent="0.3">
      <c r="A82" t="s">
        <v>36</v>
      </c>
      <c r="B82" t="s">
        <v>9</v>
      </c>
      <c r="C82" t="s">
        <v>10</v>
      </c>
      <c r="D82" t="s">
        <v>11</v>
      </c>
      <c r="E82" s="8">
        <v>311</v>
      </c>
      <c r="F82" s="16">
        <f t="shared" si="3"/>
        <v>24</v>
      </c>
      <c r="G82" s="15">
        <f t="shared" si="4"/>
        <v>0.6</v>
      </c>
      <c r="H82" s="16">
        <f t="shared" si="5"/>
        <v>4478.3999999999996</v>
      </c>
    </row>
    <row r="83" spans="1:8" x14ac:dyDescent="0.3">
      <c r="A83" t="s">
        <v>36</v>
      </c>
      <c r="B83" t="s">
        <v>9</v>
      </c>
      <c r="C83" t="s">
        <v>12</v>
      </c>
      <c r="D83" t="s">
        <v>13</v>
      </c>
      <c r="E83" s="8">
        <v>10987</v>
      </c>
      <c r="F83" s="16">
        <f t="shared" si="3"/>
        <v>6</v>
      </c>
      <c r="G83" s="15">
        <f t="shared" si="4"/>
        <v>0.25</v>
      </c>
      <c r="H83" s="16">
        <f t="shared" si="5"/>
        <v>16480.5</v>
      </c>
    </row>
    <row r="84" spans="1:8" x14ac:dyDescent="0.3">
      <c r="A84" t="s">
        <v>36</v>
      </c>
      <c r="B84" t="s">
        <v>9</v>
      </c>
      <c r="C84" t="s">
        <v>14</v>
      </c>
      <c r="D84" t="s">
        <v>13</v>
      </c>
      <c r="E84" s="8">
        <v>6438</v>
      </c>
      <c r="F84" s="16">
        <f t="shared" si="3"/>
        <v>12</v>
      </c>
      <c r="G84" s="15">
        <f t="shared" si="4"/>
        <v>0.25</v>
      </c>
      <c r="H84" s="16">
        <f t="shared" si="5"/>
        <v>19314</v>
      </c>
    </row>
    <row r="85" spans="1:8" x14ac:dyDescent="0.3">
      <c r="A85" t="s">
        <v>36</v>
      </c>
      <c r="B85" t="s">
        <v>15</v>
      </c>
      <c r="C85" t="s">
        <v>16</v>
      </c>
      <c r="D85" t="s">
        <v>11</v>
      </c>
      <c r="E85" s="8">
        <v>838</v>
      </c>
      <c r="F85" s="16">
        <f t="shared" si="3"/>
        <v>18</v>
      </c>
      <c r="G85" s="15">
        <f t="shared" si="4"/>
        <v>0.6</v>
      </c>
      <c r="H85" s="16">
        <f t="shared" si="5"/>
        <v>9050.4</v>
      </c>
    </row>
    <row r="86" spans="1:8" x14ac:dyDescent="0.3">
      <c r="A86" t="s">
        <v>37</v>
      </c>
      <c r="B86" t="s">
        <v>9</v>
      </c>
      <c r="C86" t="s">
        <v>10</v>
      </c>
      <c r="D86" t="s">
        <v>11</v>
      </c>
      <c r="E86" s="8">
        <v>28</v>
      </c>
      <c r="F86" s="16">
        <f t="shared" si="3"/>
        <v>24</v>
      </c>
      <c r="G86" s="15">
        <f t="shared" si="4"/>
        <v>0.6</v>
      </c>
      <c r="H86" s="16">
        <f t="shared" si="5"/>
        <v>403.2</v>
      </c>
    </row>
    <row r="87" spans="1:8" x14ac:dyDescent="0.3">
      <c r="A87" t="s">
        <v>37</v>
      </c>
      <c r="B87" t="s">
        <v>9</v>
      </c>
      <c r="C87" t="s">
        <v>12</v>
      </c>
      <c r="D87" t="s">
        <v>13</v>
      </c>
      <c r="E87" s="8">
        <v>3171</v>
      </c>
      <c r="F87" s="16">
        <f t="shared" si="3"/>
        <v>6</v>
      </c>
      <c r="G87" s="15">
        <f t="shared" si="4"/>
        <v>0.25</v>
      </c>
      <c r="H87" s="16">
        <f t="shared" si="5"/>
        <v>4756.5</v>
      </c>
    </row>
    <row r="88" spans="1:8" x14ac:dyDescent="0.3">
      <c r="A88" t="s">
        <v>37</v>
      </c>
      <c r="B88" t="s">
        <v>9</v>
      </c>
      <c r="C88" t="s">
        <v>14</v>
      </c>
      <c r="D88" t="s">
        <v>13</v>
      </c>
      <c r="E88" s="8">
        <v>1868</v>
      </c>
      <c r="F88" s="16">
        <f t="shared" si="3"/>
        <v>12</v>
      </c>
      <c r="G88" s="15">
        <f t="shared" si="4"/>
        <v>0.25</v>
      </c>
      <c r="H88" s="16">
        <f t="shared" si="5"/>
        <v>5604</v>
      </c>
    </row>
    <row r="89" spans="1:8" x14ac:dyDescent="0.3">
      <c r="A89" t="s">
        <v>37</v>
      </c>
      <c r="B89" t="s">
        <v>15</v>
      </c>
      <c r="C89" t="s">
        <v>16</v>
      </c>
      <c r="D89" t="s">
        <v>11</v>
      </c>
      <c r="E89" s="8">
        <v>154</v>
      </c>
      <c r="F89" s="16">
        <f t="shared" si="3"/>
        <v>18</v>
      </c>
      <c r="G89" s="15">
        <f t="shared" si="4"/>
        <v>0.6</v>
      </c>
      <c r="H89" s="16">
        <f t="shared" si="5"/>
        <v>1663.2</v>
      </c>
    </row>
    <row r="90" spans="1:8" x14ac:dyDescent="0.3">
      <c r="A90" t="s">
        <v>38</v>
      </c>
      <c r="B90" t="s">
        <v>9</v>
      </c>
      <c r="C90" t="s">
        <v>10</v>
      </c>
      <c r="D90" t="s">
        <v>11</v>
      </c>
      <c r="E90" s="8">
        <v>273</v>
      </c>
      <c r="F90" s="16">
        <f t="shared" si="3"/>
        <v>24</v>
      </c>
      <c r="G90" s="15">
        <f t="shared" si="4"/>
        <v>0.6</v>
      </c>
      <c r="H90" s="16">
        <f t="shared" si="5"/>
        <v>3931.2</v>
      </c>
    </row>
    <row r="91" spans="1:8" x14ac:dyDescent="0.3">
      <c r="A91" t="s">
        <v>38</v>
      </c>
      <c r="B91" t="s">
        <v>9</v>
      </c>
      <c r="C91" t="s">
        <v>12</v>
      </c>
      <c r="D91" t="s">
        <v>13</v>
      </c>
      <c r="E91" s="8">
        <v>18911</v>
      </c>
      <c r="F91" s="16">
        <f t="shared" si="3"/>
        <v>6</v>
      </c>
      <c r="G91" s="15">
        <f t="shared" si="4"/>
        <v>0.25</v>
      </c>
      <c r="H91" s="16">
        <f t="shared" si="5"/>
        <v>28366.5</v>
      </c>
    </row>
    <row r="92" spans="1:8" x14ac:dyDescent="0.3">
      <c r="A92" t="s">
        <v>38</v>
      </c>
      <c r="B92" t="s">
        <v>9</v>
      </c>
      <c r="C92" t="s">
        <v>14</v>
      </c>
      <c r="D92" t="s">
        <v>13</v>
      </c>
      <c r="E92" s="8">
        <v>12347</v>
      </c>
      <c r="F92" s="16">
        <f t="shared" si="3"/>
        <v>12</v>
      </c>
      <c r="G92" s="15">
        <f t="shared" si="4"/>
        <v>0.25</v>
      </c>
      <c r="H92" s="16">
        <f t="shared" si="5"/>
        <v>37041</v>
      </c>
    </row>
    <row r="93" spans="1:8" x14ac:dyDescent="0.3">
      <c r="A93" t="s">
        <v>38</v>
      </c>
      <c r="B93" t="s">
        <v>15</v>
      </c>
      <c r="C93" t="s">
        <v>16</v>
      </c>
      <c r="D93" t="s">
        <v>11</v>
      </c>
      <c r="E93" s="8">
        <v>940</v>
      </c>
      <c r="F93" s="16">
        <f t="shared" si="3"/>
        <v>18</v>
      </c>
      <c r="G93" s="15">
        <f t="shared" si="4"/>
        <v>0.6</v>
      </c>
      <c r="H93" s="16">
        <f t="shared" si="5"/>
        <v>10152</v>
      </c>
    </row>
    <row r="94" spans="1:8" x14ac:dyDescent="0.3">
      <c r="A94" t="s">
        <v>39</v>
      </c>
      <c r="B94" t="s">
        <v>9</v>
      </c>
      <c r="C94" t="s">
        <v>10</v>
      </c>
      <c r="D94" t="s">
        <v>11</v>
      </c>
      <c r="E94" s="8">
        <v>202</v>
      </c>
      <c r="F94" s="16">
        <f t="shared" si="3"/>
        <v>24</v>
      </c>
      <c r="G94" s="15">
        <f t="shared" si="4"/>
        <v>0.6</v>
      </c>
      <c r="H94" s="16">
        <f t="shared" si="5"/>
        <v>2908.7999999999997</v>
      </c>
    </row>
    <row r="95" spans="1:8" x14ac:dyDescent="0.3">
      <c r="A95" t="s">
        <v>39</v>
      </c>
      <c r="B95" t="s">
        <v>9</v>
      </c>
      <c r="C95" t="s">
        <v>12</v>
      </c>
      <c r="D95" t="s">
        <v>13</v>
      </c>
      <c r="E95" s="8">
        <v>11636</v>
      </c>
      <c r="F95" s="16">
        <f t="shared" si="3"/>
        <v>6</v>
      </c>
      <c r="G95" s="15">
        <f t="shared" si="4"/>
        <v>0.25</v>
      </c>
      <c r="H95" s="16">
        <f t="shared" si="5"/>
        <v>17454</v>
      </c>
    </row>
    <row r="96" spans="1:8" x14ac:dyDescent="0.3">
      <c r="A96" t="s">
        <v>39</v>
      </c>
      <c r="B96" t="s">
        <v>9</v>
      </c>
      <c r="C96" t="s">
        <v>14</v>
      </c>
      <c r="D96" t="s">
        <v>13</v>
      </c>
      <c r="E96" s="8">
        <v>6810</v>
      </c>
      <c r="F96" s="16">
        <f t="shared" si="3"/>
        <v>12</v>
      </c>
      <c r="G96" s="15">
        <f t="shared" si="4"/>
        <v>0.25</v>
      </c>
      <c r="H96" s="16">
        <f t="shared" si="5"/>
        <v>20430</v>
      </c>
    </row>
    <row r="97" spans="1:8" x14ac:dyDescent="0.3">
      <c r="A97" t="s">
        <v>39</v>
      </c>
      <c r="B97" t="s">
        <v>15</v>
      </c>
      <c r="C97" t="s">
        <v>16</v>
      </c>
      <c r="D97" t="s">
        <v>11</v>
      </c>
      <c r="E97" s="8">
        <v>725</v>
      </c>
      <c r="F97" s="16">
        <f t="shared" si="3"/>
        <v>18</v>
      </c>
      <c r="G97" s="15">
        <f t="shared" si="4"/>
        <v>0.6</v>
      </c>
      <c r="H97" s="16">
        <f t="shared" si="5"/>
        <v>7830</v>
      </c>
    </row>
    <row r="98" spans="1:8" x14ac:dyDescent="0.3">
      <c r="A98" t="s">
        <v>40</v>
      </c>
      <c r="B98" t="s">
        <v>9</v>
      </c>
      <c r="C98" t="s">
        <v>10</v>
      </c>
      <c r="D98" t="s">
        <v>11</v>
      </c>
      <c r="E98" s="8">
        <v>188</v>
      </c>
      <c r="F98" s="16">
        <f t="shared" si="3"/>
        <v>24</v>
      </c>
      <c r="G98" s="15">
        <f t="shared" si="4"/>
        <v>0.6</v>
      </c>
      <c r="H98" s="16">
        <f t="shared" si="5"/>
        <v>2707.2</v>
      </c>
    </row>
    <row r="99" spans="1:8" x14ac:dyDescent="0.3">
      <c r="A99" t="s">
        <v>40</v>
      </c>
      <c r="B99" t="s">
        <v>9</v>
      </c>
      <c r="C99" t="s">
        <v>12</v>
      </c>
      <c r="D99" t="s">
        <v>13</v>
      </c>
      <c r="E99" s="8">
        <v>10127</v>
      </c>
      <c r="F99" s="16">
        <f t="shared" si="3"/>
        <v>6</v>
      </c>
      <c r="G99" s="15">
        <f t="shared" si="4"/>
        <v>0.25</v>
      </c>
      <c r="H99" s="16">
        <f t="shared" si="5"/>
        <v>15190.5</v>
      </c>
    </row>
    <row r="100" spans="1:8" x14ac:dyDescent="0.3">
      <c r="A100" t="s">
        <v>40</v>
      </c>
      <c r="B100" t="s">
        <v>9</v>
      </c>
      <c r="C100" t="s">
        <v>14</v>
      </c>
      <c r="D100" t="s">
        <v>13</v>
      </c>
      <c r="E100" s="8">
        <v>5791</v>
      </c>
      <c r="F100" s="16">
        <f t="shared" si="3"/>
        <v>12</v>
      </c>
      <c r="G100" s="15">
        <f t="shared" si="4"/>
        <v>0.25</v>
      </c>
      <c r="H100" s="16">
        <f t="shared" si="5"/>
        <v>17373</v>
      </c>
    </row>
    <row r="101" spans="1:8" x14ac:dyDescent="0.3">
      <c r="A101" t="s">
        <v>40</v>
      </c>
      <c r="B101" t="s">
        <v>15</v>
      </c>
      <c r="C101" t="s">
        <v>16</v>
      </c>
      <c r="D101" t="s">
        <v>11</v>
      </c>
      <c r="E101" s="8">
        <v>665</v>
      </c>
      <c r="F101" s="16">
        <f t="shared" si="3"/>
        <v>18</v>
      </c>
      <c r="G101" s="15">
        <f t="shared" si="4"/>
        <v>0.6</v>
      </c>
      <c r="H101" s="16">
        <f t="shared" si="5"/>
        <v>7182</v>
      </c>
    </row>
    <row r="102" spans="1:8" x14ac:dyDescent="0.3">
      <c r="A102" t="s">
        <v>41</v>
      </c>
      <c r="B102" t="s">
        <v>9</v>
      </c>
      <c r="C102" t="s">
        <v>10</v>
      </c>
      <c r="D102" t="s">
        <v>11</v>
      </c>
      <c r="E102" s="8">
        <v>55</v>
      </c>
      <c r="F102" s="16">
        <f t="shared" si="3"/>
        <v>24</v>
      </c>
      <c r="G102" s="15">
        <f t="shared" si="4"/>
        <v>0.6</v>
      </c>
      <c r="H102" s="16">
        <f t="shared" si="5"/>
        <v>792</v>
      </c>
    </row>
    <row r="103" spans="1:8" x14ac:dyDescent="0.3">
      <c r="A103" t="s">
        <v>41</v>
      </c>
      <c r="B103" t="s">
        <v>9</v>
      </c>
      <c r="C103" t="s">
        <v>12</v>
      </c>
      <c r="D103" t="s">
        <v>13</v>
      </c>
      <c r="E103" s="8">
        <v>5644</v>
      </c>
      <c r="F103" s="16">
        <f t="shared" si="3"/>
        <v>6</v>
      </c>
      <c r="G103" s="15">
        <f t="shared" si="4"/>
        <v>0.25</v>
      </c>
      <c r="H103" s="16">
        <f t="shared" si="5"/>
        <v>8466</v>
      </c>
    </row>
    <row r="104" spans="1:8" x14ac:dyDescent="0.3">
      <c r="A104" t="s">
        <v>41</v>
      </c>
      <c r="B104" t="s">
        <v>9</v>
      </c>
      <c r="C104" t="s">
        <v>14</v>
      </c>
      <c r="D104" t="s">
        <v>13</v>
      </c>
      <c r="E104" s="8">
        <v>2247</v>
      </c>
      <c r="F104" s="16">
        <f t="shared" si="3"/>
        <v>12</v>
      </c>
      <c r="G104" s="15">
        <f t="shared" si="4"/>
        <v>0.25</v>
      </c>
      <c r="H104" s="16">
        <f t="shared" si="5"/>
        <v>6741</v>
      </c>
    </row>
    <row r="105" spans="1:8" x14ac:dyDescent="0.3">
      <c r="A105" t="s">
        <v>41</v>
      </c>
      <c r="B105" t="s">
        <v>15</v>
      </c>
      <c r="C105" t="s">
        <v>16</v>
      </c>
      <c r="D105" t="s">
        <v>11</v>
      </c>
      <c r="E105" s="8">
        <v>148</v>
      </c>
      <c r="F105" s="16">
        <f t="shared" si="3"/>
        <v>18</v>
      </c>
      <c r="G105" s="15">
        <f t="shared" si="4"/>
        <v>0.6</v>
      </c>
      <c r="H105" s="16">
        <f t="shared" si="5"/>
        <v>1598.3999999999999</v>
      </c>
    </row>
    <row r="106" spans="1:8" x14ac:dyDescent="0.3">
      <c r="A106" t="s">
        <v>42</v>
      </c>
      <c r="B106" t="s">
        <v>9</v>
      </c>
      <c r="C106" t="s">
        <v>10</v>
      </c>
      <c r="D106" t="s">
        <v>11</v>
      </c>
      <c r="E106" s="8">
        <v>23</v>
      </c>
      <c r="F106" s="16">
        <f t="shared" si="3"/>
        <v>24</v>
      </c>
      <c r="G106" s="15">
        <f t="shared" si="4"/>
        <v>0.6</v>
      </c>
      <c r="H106" s="16">
        <f t="shared" si="5"/>
        <v>331.2</v>
      </c>
    </row>
    <row r="107" spans="1:8" x14ac:dyDescent="0.3">
      <c r="A107" t="s">
        <v>42</v>
      </c>
      <c r="B107" t="s">
        <v>9</v>
      </c>
      <c r="C107" t="s">
        <v>12</v>
      </c>
      <c r="D107" t="s">
        <v>13</v>
      </c>
      <c r="E107" s="8">
        <v>2201</v>
      </c>
      <c r="F107" s="16">
        <f t="shared" si="3"/>
        <v>6</v>
      </c>
      <c r="G107" s="15">
        <f t="shared" si="4"/>
        <v>0.25</v>
      </c>
      <c r="H107" s="16">
        <f t="shared" si="5"/>
        <v>3301.5</v>
      </c>
    </row>
    <row r="108" spans="1:8" x14ac:dyDescent="0.3">
      <c r="A108" t="s">
        <v>42</v>
      </c>
      <c r="B108" t="s">
        <v>9</v>
      </c>
      <c r="C108" t="s">
        <v>14</v>
      </c>
      <c r="D108" t="s">
        <v>13</v>
      </c>
      <c r="E108" s="8">
        <v>1151</v>
      </c>
      <c r="F108" s="16">
        <f t="shared" si="3"/>
        <v>12</v>
      </c>
      <c r="G108" s="15">
        <f t="shared" si="4"/>
        <v>0.25</v>
      </c>
      <c r="H108" s="16">
        <f t="shared" si="5"/>
        <v>3453</v>
      </c>
    </row>
    <row r="109" spans="1:8" x14ac:dyDescent="0.3">
      <c r="A109" t="s">
        <v>42</v>
      </c>
      <c r="B109" t="s">
        <v>15</v>
      </c>
      <c r="C109" t="s">
        <v>16</v>
      </c>
      <c r="D109" t="s">
        <v>11</v>
      </c>
      <c r="E109" s="8">
        <v>89</v>
      </c>
      <c r="F109" s="16">
        <f t="shared" si="3"/>
        <v>18</v>
      </c>
      <c r="G109" s="15">
        <f t="shared" si="4"/>
        <v>0.6</v>
      </c>
      <c r="H109" s="16">
        <f t="shared" si="5"/>
        <v>961.19999999999993</v>
      </c>
    </row>
    <row r="110" spans="1:8" x14ac:dyDescent="0.3">
      <c r="A110" t="s">
        <v>43</v>
      </c>
      <c r="B110" t="s">
        <v>9</v>
      </c>
      <c r="C110" t="s">
        <v>10</v>
      </c>
      <c r="D110" t="s">
        <v>11</v>
      </c>
      <c r="E110" s="8">
        <v>244</v>
      </c>
      <c r="F110" s="16">
        <f t="shared" si="3"/>
        <v>24</v>
      </c>
      <c r="G110" s="15">
        <f t="shared" si="4"/>
        <v>0.6</v>
      </c>
      <c r="H110" s="16">
        <f t="shared" si="5"/>
        <v>3513.6</v>
      </c>
    </row>
    <row r="111" spans="1:8" x14ac:dyDescent="0.3">
      <c r="A111" t="s">
        <v>43</v>
      </c>
      <c r="B111" t="s">
        <v>9</v>
      </c>
      <c r="C111" t="s">
        <v>12</v>
      </c>
      <c r="D111" t="s">
        <v>13</v>
      </c>
      <c r="E111" s="8">
        <v>22720</v>
      </c>
      <c r="F111" s="16">
        <f t="shared" si="3"/>
        <v>6</v>
      </c>
      <c r="G111" s="15">
        <f t="shared" si="4"/>
        <v>0.25</v>
      </c>
      <c r="H111" s="16">
        <f t="shared" si="5"/>
        <v>34080</v>
      </c>
    </row>
    <row r="112" spans="1:8" x14ac:dyDescent="0.3">
      <c r="A112" t="s">
        <v>43</v>
      </c>
      <c r="B112" t="s">
        <v>9</v>
      </c>
      <c r="C112" t="s">
        <v>14</v>
      </c>
      <c r="D112" t="s">
        <v>13</v>
      </c>
      <c r="E112" s="8">
        <v>9199</v>
      </c>
      <c r="F112" s="16">
        <f t="shared" si="3"/>
        <v>12</v>
      </c>
      <c r="G112" s="15">
        <f t="shared" si="4"/>
        <v>0.25</v>
      </c>
      <c r="H112" s="16">
        <f t="shared" si="5"/>
        <v>27597</v>
      </c>
    </row>
    <row r="113" spans="1:8" x14ac:dyDescent="0.3">
      <c r="A113" t="s">
        <v>43</v>
      </c>
      <c r="B113" t="s">
        <v>15</v>
      </c>
      <c r="C113" t="s">
        <v>16</v>
      </c>
      <c r="D113" t="s">
        <v>11</v>
      </c>
      <c r="E113" s="8">
        <v>860</v>
      </c>
      <c r="F113" s="16">
        <f t="shared" si="3"/>
        <v>18</v>
      </c>
      <c r="G113" s="15">
        <f t="shared" si="4"/>
        <v>0.6</v>
      </c>
      <c r="H113" s="16">
        <f t="shared" si="5"/>
        <v>9288</v>
      </c>
    </row>
    <row r="114" spans="1:8" x14ac:dyDescent="0.3">
      <c r="A114" t="s">
        <v>44</v>
      </c>
      <c r="B114" t="s">
        <v>9</v>
      </c>
      <c r="C114" t="s">
        <v>10</v>
      </c>
      <c r="D114" t="s">
        <v>11</v>
      </c>
      <c r="E114" s="8">
        <v>17</v>
      </c>
      <c r="F114" s="16">
        <f t="shared" si="3"/>
        <v>24</v>
      </c>
      <c r="G114" s="15">
        <f t="shared" si="4"/>
        <v>0.6</v>
      </c>
      <c r="H114" s="16">
        <f t="shared" si="5"/>
        <v>244.79999999999998</v>
      </c>
    </row>
    <row r="115" spans="1:8" x14ac:dyDescent="0.3">
      <c r="A115" t="s">
        <v>44</v>
      </c>
      <c r="B115" t="s">
        <v>9</v>
      </c>
      <c r="C115" t="s">
        <v>12</v>
      </c>
      <c r="D115" t="s">
        <v>13</v>
      </c>
      <c r="E115" s="8">
        <v>1855</v>
      </c>
      <c r="F115" s="16">
        <f t="shared" si="3"/>
        <v>6</v>
      </c>
      <c r="G115" s="15">
        <f t="shared" si="4"/>
        <v>0.25</v>
      </c>
      <c r="H115" s="16">
        <f t="shared" si="5"/>
        <v>2782.5</v>
      </c>
    </row>
    <row r="116" spans="1:8" x14ac:dyDescent="0.3">
      <c r="A116" t="s">
        <v>44</v>
      </c>
      <c r="B116" t="s">
        <v>9</v>
      </c>
      <c r="C116" t="s">
        <v>14</v>
      </c>
      <c r="D116" t="s">
        <v>13</v>
      </c>
      <c r="E116" s="8">
        <v>858</v>
      </c>
      <c r="F116" s="16">
        <f t="shared" si="3"/>
        <v>12</v>
      </c>
      <c r="G116" s="15">
        <f t="shared" si="4"/>
        <v>0.25</v>
      </c>
      <c r="H116" s="16">
        <f t="shared" si="5"/>
        <v>2574</v>
      </c>
    </row>
    <row r="117" spans="1:8" x14ac:dyDescent="0.3">
      <c r="A117" t="s">
        <v>44</v>
      </c>
      <c r="B117" t="s">
        <v>15</v>
      </c>
      <c r="C117" t="s">
        <v>16</v>
      </c>
      <c r="D117" t="s">
        <v>11</v>
      </c>
      <c r="E117" s="8">
        <v>83</v>
      </c>
      <c r="F117" s="16">
        <f t="shared" si="3"/>
        <v>18</v>
      </c>
      <c r="G117" s="15">
        <f t="shared" si="4"/>
        <v>0.6</v>
      </c>
      <c r="H117" s="16">
        <f t="shared" si="5"/>
        <v>896.4</v>
      </c>
    </row>
    <row r="118" spans="1:8" x14ac:dyDescent="0.3">
      <c r="A118" t="s">
        <v>45</v>
      </c>
      <c r="B118" t="s">
        <v>9</v>
      </c>
      <c r="C118" t="s">
        <v>10</v>
      </c>
      <c r="D118" t="s">
        <v>11</v>
      </c>
      <c r="E118" s="8">
        <v>29</v>
      </c>
      <c r="F118" s="16">
        <f t="shared" si="3"/>
        <v>24</v>
      </c>
      <c r="G118" s="15">
        <f t="shared" si="4"/>
        <v>0.6</v>
      </c>
      <c r="H118" s="16">
        <f t="shared" si="5"/>
        <v>417.59999999999997</v>
      </c>
    </row>
    <row r="119" spans="1:8" x14ac:dyDescent="0.3">
      <c r="A119" t="s">
        <v>45</v>
      </c>
      <c r="B119" t="s">
        <v>9</v>
      </c>
      <c r="C119" t="s">
        <v>12</v>
      </c>
      <c r="D119" t="s">
        <v>13</v>
      </c>
      <c r="E119" s="8">
        <v>3619</v>
      </c>
      <c r="F119" s="16">
        <f t="shared" si="3"/>
        <v>6</v>
      </c>
      <c r="G119" s="15">
        <f t="shared" si="4"/>
        <v>0.25</v>
      </c>
      <c r="H119" s="16">
        <f t="shared" si="5"/>
        <v>5428.5</v>
      </c>
    </row>
    <row r="120" spans="1:8" x14ac:dyDescent="0.3">
      <c r="A120" t="s">
        <v>45</v>
      </c>
      <c r="B120" t="s">
        <v>9</v>
      </c>
      <c r="C120" t="s">
        <v>14</v>
      </c>
      <c r="D120" t="s">
        <v>13</v>
      </c>
      <c r="E120" s="8">
        <v>1761</v>
      </c>
      <c r="F120" s="16">
        <f t="shared" si="3"/>
        <v>12</v>
      </c>
      <c r="G120" s="15">
        <f t="shared" si="4"/>
        <v>0.25</v>
      </c>
      <c r="H120" s="16">
        <f t="shared" si="5"/>
        <v>5283</v>
      </c>
    </row>
    <row r="121" spans="1:8" x14ac:dyDescent="0.3">
      <c r="A121" t="s">
        <v>45</v>
      </c>
      <c r="B121" t="s">
        <v>15</v>
      </c>
      <c r="C121" t="s">
        <v>16</v>
      </c>
      <c r="D121" t="s">
        <v>11</v>
      </c>
      <c r="E121" s="8">
        <v>105</v>
      </c>
      <c r="F121" s="16">
        <f t="shared" si="3"/>
        <v>18</v>
      </c>
      <c r="G121" s="15">
        <f t="shared" si="4"/>
        <v>0.6</v>
      </c>
      <c r="H121" s="16">
        <f t="shared" si="5"/>
        <v>1134</v>
      </c>
    </row>
    <row r="122" spans="1:8" x14ac:dyDescent="0.3">
      <c r="A122" t="s">
        <v>46</v>
      </c>
      <c r="B122" t="s">
        <v>9</v>
      </c>
      <c r="C122" t="s">
        <v>10</v>
      </c>
      <c r="D122" t="s">
        <v>11</v>
      </c>
      <c r="E122" s="8">
        <v>45</v>
      </c>
      <c r="F122" s="16">
        <f t="shared" si="3"/>
        <v>24</v>
      </c>
      <c r="G122" s="15">
        <f t="shared" si="4"/>
        <v>0.6</v>
      </c>
      <c r="H122" s="16">
        <f t="shared" si="5"/>
        <v>648</v>
      </c>
    </row>
    <row r="123" spans="1:8" x14ac:dyDescent="0.3">
      <c r="A123" t="s">
        <v>46</v>
      </c>
      <c r="B123" t="s">
        <v>9</v>
      </c>
      <c r="C123" t="s">
        <v>12</v>
      </c>
      <c r="D123" t="s">
        <v>13</v>
      </c>
      <c r="E123" s="8">
        <v>2853</v>
      </c>
      <c r="F123" s="16">
        <f t="shared" si="3"/>
        <v>6</v>
      </c>
      <c r="G123" s="15">
        <f t="shared" si="4"/>
        <v>0.25</v>
      </c>
      <c r="H123" s="16">
        <f t="shared" si="5"/>
        <v>4279.5</v>
      </c>
    </row>
    <row r="124" spans="1:8" x14ac:dyDescent="0.3">
      <c r="A124" t="s">
        <v>46</v>
      </c>
      <c r="B124" t="s">
        <v>9</v>
      </c>
      <c r="C124" t="s">
        <v>14</v>
      </c>
      <c r="D124" t="s">
        <v>13</v>
      </c>
      <c r="E124" s="8">
        <v>1387</v>
      </c>
      <c r="F124" s="16">
        <f t="shared" si="3"/>
        <v>12</v>
      </c>
      <c r="G124" s="15">
        <f t="shared" si="4"/>
        <v>0.25</v>
      </c>
      <c r="H124" s="16">
        <f t="shared" si="5"/>
        <v>4161</v>
      </c>
    </row>
    <row r="125" spans="1:8" x14ac:dyDescent="0.3">
      <c r="A125" t="s">
        <v>46</v>
      </c>
      <c r="B125" t="s">
        <v>15</v>
      </c>
      <c r="C125" t="s">
        <v>16</v>
      </c>
      <c r="D125" t="s">
        <v>11</v>
      </c>
      <c r="E125" s="8">
        <v>86</v>
      </c>
      <c r="F125" s="16">
        <f t="shared" si="3"/>
        <v>18</v>
      </c>
      <c r="G125" s="15">
        <f t="shared" si="4"/>
        <v>0.6</v>
      </c>
      <c r="H125" s="16">
        <f t="shared" si="5"/>
        <v>928.8</v>
      </c>
    </row>
    <row r="126" spans="1:8" x14ac:dyDescent="0.3">
      <c r="A126" t="s">
        <v>47</v>
      </c>
      <c r="B126" t="s">
        <v>9</v>
      </c>
      <c r="C126" t="s">
        <v>10</v>
      </c>
      <c r="D126" t="s">
        <v>11</v>
      </c>
      <c r="E126" s="8">
        <v>427</v>
      </c>
      <c r="F126" s="16">
        <f t="shared" si="3"/>
        <v>24</v>
      </c>
      <c r="G126" s="15">
        <f t="shared" si="4"/>
        <v>0.6</v>
      </c>
      <c r="H126" s="16">
        <f t="shared" si="5"/>
        <v>6148.8</v>
      </c>
    </row>
    <row r="127" spans="1:8" x14ac:dyDescent="0.3">
      <c r="A127" t="s">
        <v>47</v>
      </c>
      <c r="B127" t="s">
        <v>9</v>
      </c>
      <c r="C127" t="s">
        <v>12</v>
      </c>
      <c r="D127" t="s">
        <v>13</v>
      </c>
      <c r="E127" s="8">
        <v>12785</v>
      </c>
      <c r="F127" s="16">
        <f t="shared" si="3"/>
        <v>6</v>
      </c>
      <c r="G127" s="15">
        <f t="shared" si="4"/>
        <v>0.25</v>
      </c>
      <c r="H127" s="16">
        <f t="shared" si="5"/>
        <v>19177.5</v>
      </c>
    </row>
    <row r="128" spans="1:8" x14ac:dyDescent="0.3">
      <c r="A128" t="s">
        <v>47</v>
      </c>
      <c r="B128" t="s">
        <v>9</v>
      </c>
      <c r="C128" t="s">
        <v>14</v>
      </c>
      <c r="D128" t="s">
        <v>13</v>
      </c>
      <c r="E128" s="8">
        <v>8000</v>
      </c>
      <c r="F128" s="16">
        <f t="shared" si="3"/>
        <v>12</v>
      </c>
      <c r="G128" s="15">
        <f t="shared" si="4"/>
        <v>0.25</v>
      </c>
      <c r="H128" s="16">
        <f t="shared" si="5"/>
        <v>24000</v>
      </c>
    </row>
    <row r="129" spans="1:8" x14ac:dyDescent="0.3">
      <c r="A129" t="s">
        <v>47</v>
      </c>
      <c r="B129" t="s">
        <v>15</v>
      </c>
      <c r="C129" t="s">
        <v>16</v>
      </c>
      <c r="D129" t="s">
        <v>11</v>
      </c>
      <c r="E129" s="8">
        <v>878</v>
      </c>
      <c r="F129" s="16">
        <f t="shared" si="3"/>
        <v>18</v>
      </c>
      <c r="G129" s="15">
        <f t="shared" si="4"/>
        <v>0.6</v>
      </c>
      <c r="H129" s="16">
        <f t="shared" si="5"/>
        <v>9482.4</v>
      </c>
    </row>
    <row r="130" spans="1:8" x14ac:dyDescent="0.3">
      <c r="A130" t="s">
        <v>48</v>
      </c>
      <c r="B130" t="s">
        <v>9</v>
      </c>
      <c r="C130" t="s">
        <v>10</v>
      </c>
      <c r="D130" t="s">
        <v>11</v>
      </c>
      <c r="E130" s="8">
        <v>38</v>
      </c>
      <c r="F130" s="16">
        <f t="shared" ref="F130:F193" si="6">INDEX(seg_calls,MATCH($C130,seg_names,0))</f>
        <v>24</v>
      </c>
      <c r="G130" s="15">
        <f t="shared" ref="G130:G193" si="7">INDEX(seg_share,MATCH($C130,seg_names,0))</f>
        <v>0.6</v>
      </c>
      <c r="H130" s="16">
        <f t="shared" ref="H130:H193" si="8">$E130*$F130*$G130</f>
        <v>547.19999999999993</v>
      </c>
    </row>
    <row r="131" spans="1:8" x14ac:dyDescent="0.3">
      <c r="A131" t="s">
        <v>48</v>
      </c>
      <c r="B131" t="s">
        <v>9</v>
      </c>
      <c r="C131" t="s">
        <v>12</v>
      </c>
      <c r="D131" t="s">
        <v>13</v>
      </c>
      <c r="E131" s="8">
        <v>3460</v>
      </c>
      <c r="F131" s="16">
        <f t="shared" si="6"/>
        <v>6</v>
      </c>
      <c r="G131" s="15">
        <f t="shared" si="7"/>
        <v>0.25</v>
      </c>
      <c r="H131" s="16">
        <f t="shared" si="8"/>
        <v>5190</v>
      </c>
    </row>
    <row r="132" spans="1:8" x14ac:dyDescent="0.3">
      <c r="A132" t="s">
        <v>48</v>
      </c>
      <c r="B132" t="s">
        <v>9</v>
      </c>
      <c r="C132" t="s">
        <v>14</v>
      </c>
      <c r="D132" t="s">
        <v>13</v>
      </c>
      <c r="E132" s="8">
        <v>2029</v>
      </c>
      <c r="F132" s="16">
        <f t="shared" si="6"/>
        <v>12</v>
      </c>
      <c r="G132" s="15">
        <f t="shared" si="7"/>
        <v>0.25</v>
      </c>
      <c r="H132" s="16">
        <f t="shared" si="8"/>
        <v>6087</v>
      </c>
    </row>
    <row r="133" spans="1:8" x14ac:dyDescent="0.3">
      <c r="A133" t="s">
        <v>48</v>
      </c>
      <c r="B133" t="s">
        <v>15</v>
      </c>
      <c r="C133" t="s">
        <v>16</v>
      </c>
      <c r="D133" t="s">
        <v>11</v>
      </c>
      <c r="E133" s="8">
        <v>119</v>
      </c>
      <c r="F133" s="16">
        <f t="shared" si="6"/>
        <v>18</v>
      </c>
      <c r="G133" s="15">
        <f t="shared" si="7"/>
        <v>0.6</v>
      </c>
      <c r="H133" s="16">
        <f t="shared" si="8"/>
        <v>1285.2</v>
      </c>
    </row>
    <row r="134" spans="1:8" x14ac:dyDescent="0.3">
      <c r="A134" t="s">
        <v>49</v>
      </c>
      <c r="B134" t="s">
        <v>9</v>
      </c>
      <c r="C134" t="s">
        <v>10</v>
      </c>
      <c r="D134" t="s">
        <v>11</v>
      </c>
      <c r="E134" s="8">
        <v>77</v>
      </c>
      <c r="F134" s="16">
        <f t="shared" si="6"/>
        <v>24</v>
      </c>
      <c r="G134" s="15">
        <f t="shared" si="7"/>
        <v>0.6</v>
      </c>
      <c r="H134" s="16">
        <f t="shared" si="8"/>
        <v>1108.8</v>
      </c>
    </row>
    <row r="135" spans="1:8" x14ac:dyDescent="0.3">
      <c r="A135" t="s">
        <v>49</v>
      </c>
      <c r="B135" t="s">
        <v>9</v>
      </c>
      <c r="C135" t="s">
        <v>12</v>
      </c>
      <c r="D135" t="s">
        <v>13</v>
      </c>
      <c r="E135" s="8">
        <v>4823</v>
      </c>
      <c r="F135" s="16">
        <f t="shared" si="6"/>
        <v>6</v>
      </c>
      <c r="G135" s="15">
        <f t="shared" si="7"/>
        <v>0.25</v>
      </c>
      <c r="H135" s="16">
        <f t="shared" si="8"/>
        <v>7234.5</v>
      </c>
    </row>
    <row r="136" spans="1:8" x14ac:dyDescent="0.3">
      <c r="A136" t="s">
        <v>49</v>
      </c>
      <c r="B136" t="s">
        <v>9</v>
      </c>
      <c r="C136" t="s">
        <v>14</v>
      </c>
      <c r="D136" t="s">
        <v>13</v>
      </c>
      <c r="E136" s="8">
        <v>2619</v>
      </c>
      <c r="F136" s="16">
        <f t="shared" si="6"/>
        <v>12</v>
      </c>
      <c r="G136" s="15">
        <f t="shared" si="7"/>
        <v>0.25</v>
      </c>
      <c r="H136" s="16">
        <f t="shared" si="8"/>
        <v>7857</v>
      </c>
    </row>
    <row r="137" spans="1:8" x14ac:dyDescent="0.3">
      <c r="A137" t="s">
        <v>49</v>
      </c>
      <c r="B137" t="s">
        <v>15</v>
      </c>
      <c r="C137" t="s">
        <v>16</v>
      </c>
      <c r="D137" t="s">
        <v>11</v>
      </c>
      <c r="E137" s="8">
        <v>194</v>
      </c>
      <c r="F137" s="16">
        <f t="shared" si="6"/>
        <v>18</v>
      </c>
      <c r="G137" s="15">
        <f t="shared" si="7"/>
        <v>0.6</v>
      </c>
      <c r="H137" s="16">
        <f t="shared" si="8"/>
        <v>2095.1999999999998</v>
      </c>
    </row>
    <row r="138" spans="1:8" x14ac:dyDescent="0.3">
      <c r="A138" t="s">
        <v>50</v>
      </c>
      <c r="B138" t="s">
        <v>9</v>
      </c>
      <c r="C138" t="s">
        <v>10</v>
      </c>
      <c r="D138" t="s">
        <v>11</v>
      </c>
      <c r="E138" s="8">
        <v>981</v>
      </c>
      <c r="F138" s="16">
        <f t="shared" si="6"/>
        <v>24</v>
      </c>
      <c r="G138" s="15">
        <f t="shared" si="7"/>
        <v>0.6</v>
      </c>
      <c r="H138" s="16">
        <f t="shared" si="8"/>
        <v>14126.4</v>
      </c>
    </row>
    <row r="139" spans="1:8" x14ac:dyDescent="0.3">
      <c r="A139" t="s">
        <v>50</v>
      </c>
      <c r="B139" t="s">
        <v>9</v>
      </c>
      <c r="C139" t="s">
        <v>12</v>
      </c>
      <c r="D139" t="s">
        <v>13</v>
      </c>
      <c r="E139" s="8">
        <v>44154</v>
      </c>
      <c r="F139" s="16">
        <f t="shared" si="6"/>
        <v>6</v>
      </c>
      <c r="G139" s="15">
        <f t="shared" si="7"/>
        <v>0.25</v>
      </c>
      <c r="H139" s="16">
        <f t="shared" si="8"/>
        <v>66231</v>
      </c>
    </row>
    <row r="140" spans="1:8" x14ac:dyDescent="0.3">
      <c r="A140" t="s">
        <v>50</v>
      </c>
      <c r="B140" t="s">
        <v>9</v>
      </c>
      <c r="C140" t="s">
        <v>14</v>
      </c>
      <c r="D140" t="s">
        <v>13</v>
      </c>
      <c r="E140" s="8">
        <v>20015</v>
      </c>
      <c r="F140" s="16">
        <f t="shared" si="6"/>
        <v>12</v>
      </c>
      <c r="G140" s="15">
        <f t="shared" si="7"/>
        <v>0.25</v>
      </c>
      <c r="H140" s="16">
        <f t="shared" si="8"/>
        <v>60045</v>
      </c>
    </row>
    <row r="141" spans="1:8" x14ac:dyDescent="0.3">
      <c r="A141" t="s">
        <v>50</v>
      </c>
      <c r="B141" t="s">
        <v>15</v>
      </c>
      <c r="C141" t="s">
        <v>16</v>
      </c>
      <c r="D141" t="s">
        <v>11</v>
      </c>
      <c r="E141" s="8">
        <v>2782</v>
      </c>
      <c r="F141" s="16">
        <f t="shared" si="6"/>
        <v>18</v>
      </c>
      <c r="G141" s="15">
        <f t="shared" si="7"/>
        <v>0.6</v>
      </c>
      <c r="H141" s="16">
        <f t="shared" si="8"/>
        <v>30045.599999999999</v>
      </c>
    </row>
    <row r="142" spans="1:8" x14ac:dyDescent="0.3">
      <c r="A142" t="s">
        <v>51</v>
      </c>
      <c r="B142" t="s">
        <v>9</v>
      </c>
      <c r="C142" t="s">
        <v>10</v>
      </c>
      <c r="D142" t="s">
        <v>11</v>
      </c>
      <c r="E142" s="8">
        <v>308</v>
      </c>
      <c r="F142" s="16">
        <f t="shared" si="6"/>
        <v>24</v>
      </c>
      <c r="G142" s="15">
        <f t="shared" si="7"/>
        <v>0.6</v>
      </c>
      <c r="H142" s="16">
        <f t="shared" si="8"/>
        <v>4435.2</v>
      </c>
    </row>
    <row r="143" spans="1:8" x14ac:dyDescent="0.3">
      <c r="A143" t="s">
        <v>51</v>
      </c>
      <c r="B143" t="s">
        <v>9</v>
      </c>
      <c r="C143" t="s">
        <v>12</v>
      </c>
      <c r="D143" t="s">
        <v>13</v>
      </c>
      <c r="E143" s="8">
        <v>21804</v>
      </c>
      <c r="F143" s="16">
        <f t="shared" si="6"/>
        <v>6</v>
      </c>
      <c r="G143" s="15">
        <f t="shared" si="7"/>
        <v>0.25</v>
      </c>
      <c r="H143" s="16">
        <f t="shared" si="8"/>
        <v>32706</v>
      </c>
    </row>
    <row r="144" spans="1:8" x14ac:dyDescent="0.3">
      <c r="A144" t="s">
        <v>51</v>
      </c>
      <c r="B144" t="s">
        <v>9</v>
      </c>
      <c r="C144" t="s">
        <v>14</v>
      </c>
      <c r="D144" t="s">
        <v>13</v>
      </c>
      <c r="E144" s="8">
        <v>10982</v>
      </c>
      <c r="F144" s="16">
        <f t="shared" si="6"/>
        <v>12</v>
      </c>
      <c r="G144" s="15">
        <f t="shared" si="7"/>
        <v>0.25</v>
      </c>
      <c r="H144" s="16">
        <f t="shared" si="8"/>
        <v>32946</v>
      </c>
    </row>
    <row r="145" spans="1:8" x14ac:dyDescent="0.3">
      <c r="A145" t="s">
        <v>51</v>
      </c>
      <c r="B145" t="s">
        <v>15</v>
      </c>
      <c r="C145" t="s">
        <v>16</v>
      </c>
      <c r="D145" t="s">
        <v>11</v>
      </c>
      <c r="E145" s="8">
        <v>1172</v>
      </c>
      <c r="F145" s="16">
        <f t="shared" si="6"/>
        <v>18</v>
      </c>
      <c r="G145" s="15">
        <f t="shared" si="7"/>
        <v>0.6</v>
      </c>
      <c r="H145" s="16">
        <f t="shared" si="8"/>
        <v>12657.6</v>
      </c>
    </row>
    <row r="146" spans="1:8" x14ac:dyDescent="0.3">
      <c r="A146" t="s">
        <v>52</v>
      </c>
      <c r="B146" t="s">
        <v>9</v>
      </c>
      <c r="C146" t="s">
        <v>10</v>
      </c>
      <c r="D146" t="s">
        <v>11</v>
      </c>
      <c r="E146" s="8">
        <v>73</v>
      </c>
      <c r="F146" s="16">
        <f t="shared" si="6"/>
        <v>24</v>
      </c>
      <c r="G146" s="15">
        <f t="shared" si="7"/>
        <v>0.6</v>
      </c>
      <c r="H146" s="16">
        <f t="shared" si="8"/>
        <v>1051.2</v>
      </c>
    </row>
    <row r="147" spans="1:8" x14ac:dyDescent="0.3">
      <c r="A147" t="s">
        <v>52</v>
      </c>
      <c r="B147" t="s">
        <v>9</v>
      </c>
      <c r="C147" t="s">
        <v>12</v>
      </c>
      <c r="D147" t="s">
        <v>13</v>
      </c>
      <c r="E147" s="8">
        <v>6173</v>
      </c>
      <c r="F147" s="16">
        <f t="shared" si="6"/>
        <v>6</v>
      </c>
      <c r="G147" s="15">
        <f t="shared" si="7"/>
        <v>0.25</v>
      </c>
      <c r="H147" s="16">
        <f t="shared" si="8"/>
        <v>9259.5</v>
      </c>
    </row>
    <row r="148" spans="1:8" x14ac:dyDescent="0.3">
      <c r="A148" t="s">
        <v>52</v>
      </c>
      <c r="B148" t="s">
        <v>9</v>
      </c>
      <c r="C148" t="s">
        <v>14</v>
      </c>
      <c r="D148" t="s">
        <v>13</v>
      </c>
      <c r="E148" s="8">
        <v>3617</v>
      </c>
      <c r="F148" s="16">
        <f t="shared" si="6"/>
        <v>12</v>
      </c>
      <c r="G148" s="15">
        <f t="shared" si="7"/>
        <v>0.25</v>
      </c>
      <c r="H148" s="16">
        <f t="shared" si="8"/>
        <v>10851</v>
      </c>
    </row>
    <row r="149" spans="1:8" x14ac:dyDescent="0.3">
      <c r="A149" t="s">
        <v>52</v>
      </c>
      <c r="B149" t="s">
        <v>15</v>
      </c>
      <c r="C149" t="s">
        <v>16</v>
      </c>
      <c r="D149" t="s">
        <v>11</v>
      </c>
      <c r="E149" s="8">
        <v>262</v>
      </c>
      <c r="F149" s="16">
        <f t="shared" si="6"/>
        <v>18</v>
      </c>
      <c r="G149" s="15">
        <f t="shared" si="7"/>
        <v>0.6</v>
      </c>
      <c r="H149" s="16">
        <f t="shared" si="8"/>
        <v>2829.6</v>
      </c>
    </row>
    <row r="150" spans="1:8" x14ac:dyDescent="0.3">
      <c r="A150" t="s">
        <v>53</v>
      </c>
      <c r="B150" t="s">
        <v>9</v>
      </c>
      <c r="C150" t="s">
        <v>10</v>
      </c>
      <c r="D150" t="s">
        <v>11</v>
      </c>
      <c r="E150" s="8">
        <v>104</v>
      </c>
      <c r="F150" s="16">
        <f t="shared" si="6"/>
        <v>24</v>
      </c>
      <c r="G150" s="15">
        <f t="shared" si="7"/>
        <v>0.6</v>
      </c>
      <c r="H150" s="16">
        <f t="shared" si="8"/>
        <v>1497.6</v>
      </c>
    </row>
    <row r="151" spans="1:8" x14ac:dyDescent="0.3">
      <c r="A151" t="s">
        <v>53</v>
      </c>
      <c r="B151" t="s">
        <v>9</v>
      </c>
      <c r="C151" t="s">
        <v>12</v>
      </c>
      <c r="D151" t="s">
        <v>13</v>
      </c>
      <c r="E151" s="8">
        <v>6378</v>
      </c>
      <c r="F151" s="16">
        <f t="shared" si="6"/>
        <v>6</v>
      </c>
      <c r="G151" s="15">
        <f t="shared" si="7"/>
        <v>0.25</v>
      </c>
      <c r="H151" s="16">
        <f t="shared" si="8"/>
        <v>9567</v>
      </c>
    </row>
    <row r="152" spans="1:8" x14ac:dyDescent="0.3">
      <c r="A152" t="s">
        <v>53</v>
      </c>
      <c r="B152" t="s">
        <v>9</v>
      </c>
      <c r="C152" t="s">
        <v>14</v>
      </c>
      <c r="D152" t="s">
        <v>13</v>
      </c>
      <c r="E152" s="8">
        <v>5198</v>
      </c>
      <c r="F152" s="16">
        <f t="shared" si="6"/>
        <v>12</v>
      </c>
      <c r="G152" s="15">
        <f t="shared" si="7"/>
        <v>0.25</v>
      </c>
      <c r="H152" s="16">
        <f t="shared" si="8"/>
        <v>15594</v>
      </c>
    </row>
    <row r="153" spans="1:8" x14ac:dyDescent="0.3">
      <c r="A153" t="s">
        <v>53</v>
      </c>
      <c r="B153" t="s">
        <v>15</v>
      </c>
      <c r="C153" t="s">
        <v>16</v>
      </c>
      <c r="D153" t="s">
        <v>11</v>
      </c>
      <c r="E153" s="8">
        <v>446</v>
      </c>
      <c r="F153" s="16">
        <f t="shared" si="6"/>
        <v>18</v>
      </c>
      <c r="G153" s="15">
        <f t="shared" si="7"/>
        <v>0.6</v>
      </c>
      <c r="H153" s="16">
        <f t="shared" si="8"/>
        <v>4816.8</v>
      </c>
    </row>
    <row r="154" spans="1:8" x14ac:dyDescent="0.3">
      <c r="A154" t="s">
        <v>54</v>
      </c>
      <c r="B154" t="s">
        <v>9</v>
      </c>
      <c r="C154" t="s">
        <v>10</v>
      </c>
      <c r="D154" t="s">
        <v>11</v>
      </c>
      <c r="E154" s="8">
        <v>478</v>
      </c>
      <c r="F154" s="16">
        <f t="shared" si="6"/>
        <v>24</v>
      </c>
      <c r="G154" s="15">
        <f t="shared" si="7"/>
        <v>0.6</v>
      </c>
      <c r="H154" s="16">
        <f t="shared" si="8"/>
        <v>6883.2</v>
      </c>
    </row>
    <row r="155" spans="1:8" x14ac:dyDescent="0.3">
      <c r="A155" t="s">
        <v>54</v>
      </c>
      <c r="B155" t="s">
        <v>9</v>
      </c>
      <c r="C155" t="s">
        <v>12</v>
      </c>
      <c r="D155" t="s">
        <v>13</v>
      </c>
      <c r="E155" s="8">
        <v>25467</v>
      </c>
      <c r="F155" s="16">
        <f t="shared" si="6"/>
        <v>6</v>
      </c>
      <c r="G155" s="15">
        <f t="shared" si="7"/>
        <v>0.25</v>
      </c>
      <c r="H155" s="16">
        <f t="shared" si="8"/>
        <v>38200.5</v>
      </c>
    </row>
    <row r="156" spans="1:8" x14ac:dyDescent="0.3">
      <c r="A156" t="s">
        <v>54</v>
      </c>
      <c r="B156" t="s">
        <v>9</v>
      </c>
      <c r="C156" t="s">
        <v>14</v>
      </c>
      <c r="D156" t="s">
        <v>13</v>
      </c>
      <c r="E156" s="8">
        <v>15412</v>
      </c>
      <c r="F156" s="16">
        <f t="shared" si="6"/>
        <v>12</v>
      </c>
      <c r="G156" s="15">
        <f t="shared" si="7"/>
        <v>0.25</v>
      </c>
      <c r="H156" s="16">
        <f t="shared" si="8"/>
        <v>46236</v>
      </c>
    </row>
    <row r="157" spans="1:8" x14ac:dyDescent="0.3">
      <c r="A157" t="s">
        <v>54</v>
      </c>
      <c r="B157" t="s">
        <v>15</v>
      </c>
      <c r="C157" t="s">
        <v>16</v>
      </c>
      <c r="D157" t="s">
        <v>11</v>
      </c>
      <c r="E157" s="8">
        <v>1822</v>
      </c>
      <c r="F157" s="16">
        <f t="shared" si="6"/>
        <v>18</v>
      </c>
      <c r="G157" s="15">
        <f t="shared" si="7"/>
        <v>0.6</v>
      </c>
      <c r="H157" s="16">
        <f t="shared" si="8"/>
        <v>19677.599999999999</v>
      </c>
    </row>
    <row r="158" spans="1:8" x14ac:dyDescent="0.3">
      <c r="A158" t="s">
        <v>55</v>
      </c>
      <c r="B158" t="s">
        <v>9</v>
      </c>
      <c r="C158" t="s">
        <v>10</v>
      </c>
      <c r="D158" t="s">
        <v>11</v>
      </c>
      <c r="E158" s="8">
        <v>37</v>
      </c>
      <c r="F158" s="16">
        <f t="shared" si="6"/>
        <v>24</v>
      </c>
      <c r="G158" s="15">
        <f t="shared" si="7"/>
        <v>0.6</v>
      </c>
      <c r="H158" s="16">
        <f t="shared" si="8"/>
        <v>532.79999999999995</v>
      </c>
    </row>
    <row r="159" spans="1:8" x14ac:dyDescent="0.3">
      <c r="A159" t="s">
        <v>55</v>
      </c>
      <c r="B159" t="s">
        <v>9</v>
      </c>
      <c r="C159" t="s">
        <v>12</v>
      </c>
      <c r="D159" t="s">
        <v>13</v>
      </c>
      <c r="E159" s="8">
        <v>2252</v>
      </c>
      <c r="F159" s="16">
        <f t="shared" si="6"/>
        <v>6</v>
      </c>
      <c r="G159" s="15">
        <f t="shared" si="7"/>
        <v>0.25</v>
      </c>
      <c r="H159" s="16">
        <f t="shared" si="8"/>
        <v>3378</v>
      </c>
    </row>
    <row r="160" spans="1:8" x14ac:dyDescent="0.3">
      <c r="A160" t="s">
        <v>55</v>
      </c>
      <c r="B160" t="s">
        <v>9</v>
      </c>
      <c r="C160" t="s">
        <v>14</v>
      </c>
      <c r="D160" t="s">
        <v>13</v>
      </c>
      <c r="E160" s="8">
        <v>1575</v>
      </c>
      <c r="F160" s="16">
        <f t="shared" si="6"/>
        <v>12</v>
      </c>
      <c r="G160" s="15">
        <f t="shared" si="7"/>
        <v>0.25</v>
      </c>
      <c r="H160" s="16">
        <f t="shared" si="8"/>
        <v>4725</v>
      </c>
    </row>
    <row r="161" spans="1:8" x14ac:dyDescent="0.3">
      <c r="A161" t="s">
        <v>55</v>
      </c>
      <c r="B161" t="s">
        <v>15</v>
      </c>
      <c r="C161" t="s">
        <v>16</v>
      </c>
      <c r="D161" t="s">
        <v>11</v>
      </c>
      <c r="E161" s="8">
        <v>163</v>
      </c>
      <c r="F161" s="16">
        <f t="shared" si="6"/>
        <v>18</v>
      </c>
      <c r="G161" s="15">
        <f t="shared" si="7"/>
        <v>0.6</v>
      </c>
      <c r="H161" s="16">
        <f t="shared" si="8"/>
        <v>1760.3999999999999</v>
      </c>
    </row>
    <row r="162" spans="1:8" x14ac:dyDescent="0.3">
      <c r="A162" t="s">
        <v>56</v>
      </c>
      <c r="B162" t="s">
        <v>9</v>
      </c>
      <c r="C162" t="s">
        <v>10</v>
      </c>
      <c r="D162" t="s">
        <v>11</v>
      </c>
      <c r="E162" s="8">
        <v>109</v>
      </c>
      <c r="F162" s="16">
        <f t="shared" si="6"/>
        <v>24</v>
      </c>
      <c r="G162" s="15">
        <f t="shared" si="7"/>
        <v>0.6</v>
      </c>
      <c r="H162" s="16">
        <f t="shared" si="8"/>
        <v>1569.6</v>
      </c>
    </row>
    <row r="163" spans="1:8" x14ac:dyDescent="0.3">
      <c r="A163" t="s">
        <v>56</v>
      </c>
      <c r="B163" t="s">
        <v>9</v>
      </c>
      <c r="C163" t="s">
        <v>12</v>
      </c>
      <c r="D163" t="s">
        <v>13</v>
      </c>
      <c r="E163" s="8">
        <v>9260</v>
      </c>
      <c r="F163" s="16">
        <f t="shared" si="6"/>
        <v>6</v>
      </c>
      <c r="G163" s="15">
        <f t="shared" si="7"/>
        <v>0.25</v>
      </c>
      <c r="H163" s="16">
        <f t="shared" si="8"/>
        <v>13890</v>
      </c>
    </row>
    <row r="164" spans="1:8" x14ac:dyDescent="0.3">
      <c r="A164" t="s">
        <v>56</v>
      </c>
      <c r="B164" t="s">
        <v>9</v>
      </c>
      <c r="C164" t="s">
        <v>14</v>
      </c>
      <c r="D164" t="s">
        <v>13</v>
      </c>
      <c r="E164" s="8">
        <v>4815</v>
      </c>
      <c r="F164" s="16">
        <f t="shared" si="6"/>
        <v>12</v>
      </c>
      <c r="G164" s="15">
        <f t="shared" si="7"/>
        <v>0.25</v>
      </c>
      <c r="H164" s="16">
        <f t="shared" si="8"/>
        <v>14445</v>
      </c>
    </row>
    <row r="165" spans="1:8" x14ac:dyDescent="0.3">
      <c r="A165" t="s">
        <v>56</v>
      </c>
      <c r="B165" t="s">
        <v>15</v>
      </c>
      <c r="C165" t="s">
        <v>16</v>
      </c>
      <c r="D165" t="s">
        <v>11</v>
      </c>
      <c r="E165" s="8">
        <v>378</v>
      </c>
      <c r="F165" s="16">
        <f t="shared" si="6"/>
        <v>18</v>
      </c>
      <c r="G165" s="15">
        <f t="shared" si="7"/>
        <v>0.6</v>
      </c>
      <c r="H165" s="16">
        <f t="shared" si="8"/>
        <v>4082.3999999999996</v>
      </c>
    </row>
    <row r="166" spans="1:8" x14ac:dyDescent="0.3">
      <c r="A166" t="s">
        <v>57</v>
      </c>
      <c r="B166" t="s">
        <v>9</v>
      </c>
      <c r="C166" t="s">
        <v>10</v>
      </c>
      <c r="D166" t="s">
        <v>11</v>
      </c>
      <c r="E166" s="8">
        <v>25</v>
      </c>
      <c r="F166" s="16">
        <f t="shared" si="6"/>
        <v>24</v>
      </c>
      <c r="G166" s="15">
        <f t="shared" si="7"/>
        <v>0.6</v>
      </c>
      <c r="H166" s="16">
        <f t="shared" si="8"/>
        <v>360</v>
      </c>
    </row>
    <row r="167" spans="1:8" x14ac:dyDescent="0.3">
      <c r="A167" t="s">
        <v>57</v>
      </c>
      <c r="B167" t="s">
        <v>9</v>
      </c>
      <c r="C167" t="s">
        <v>12</v>
      </c>
      <c r="D167" t="s">
        <v>13</v>
      </c>
      <c r="E167" s="8">
        <v>2175</v>
      </c>
      <c r="F167" s="16">
        <f t="shared" si="6"/>
        <v>6</v>
      </c>
      <c r="G167" s="15">
        <f t="shared" si="7"/>
        <v>0.25</v>
      </c>
      <c r="H167" s="16">
        <f t="shared" si="8"/>
        <v>3262.5</v>
      </c>
    </row>
    <row r="168" spans="1:8" x14ac:dyDescent="0.3">
      <c r="A168" t="s">
        <v>57</v>
      </c>
      <c r="B168" t="s">
        <v>9</v>
      </c>
      <c r="C168" t="s">
        <v>14</v>
      </c>
      <c r="D168" t="s">
        <v>13</v>
      </c>
      <c r="E168" s="8">
        <v>892</v>
      </c>
      <c r="F168" s="16">
        <f t="shared" si="6"/>
        <v>12</v>
      </c>
      <c r="G168" s="15">
        <f t="shared" si="7"/>
        <v>0.25</v>
      </c>
      <c r="H168" s="16">
        <f t="shared" si="8"/>
        <v>2676</v>
      </c>
    </row>
    <row r="169" spans="1:8" x14ac:dyDescent="0.3">
      <c r="A169" t="s">
        <v>57</v>
      </c>
      <c r="B169" t="s">
        <v>15</v>
      </c>
      <c r="C169" t="s">
        <v>16</v>
      </c>
      <c r="D169" t="s">
        <v>11</v>
      </c>
      <c r="E169" s="8">
        <v>67</v>
      </c>
      <c r="F169" s="16">
        <f t="shared" si="6"/>
        <v>18</v>
      </c>
      <c r="G169" s="15">
        <f t="shared" si="7"/>
        <v>0.6</v>
      </c>
      <c r="H169" s="16">
        <f t="shared" si="8"/>
        <v>723.6</v>
      </c>
    </row>
    <row r="170" spans="1:8" x14ac:dyDescent="0.3">
      <c r="A170" t="s">
        <v>58</v>
      </c>
      <c r="B170" t="s">
        <v>9</v>
      </c>
      <c r="C170" t="s">
        <v>10</v>
      </c>
      <c r="D170" t="s">
        <v>11</v>
      </c>
      <c r="E170" s="8">
        <v>150</v>
      </c>
      <c r="F170" s="16">
        <f t="shared" si="6"/>
        <v>24</v>
      </c>
      <c r="G170" s="15">
        <f t="shared" si="7"/>
        <v>0.6</v>
      </c>
      <c r="H170" s="16">
        <f t="shared" si="8"/>
        <v>2160</v>
      </c>
    </row>
    <row r="171" spans="1:8" x14ac:dyDescent="0.3">
      <c r="A171" t="s">
        <v>58</v>
      </c>
      <c r="B171" t="s">
        <v>9</v>
      </c>
      <c r="C171" t="s">
        <v>12</v>
      </c>
      <c r="D171" t="s">
        <v>13</v>
      </c>
      <c r="E171" s="8">
        <v>16431</v>
      </c>
      <c r="F171" s="16">
        <f t="shared" si="6"/>
        <v>6</v>
      </c>
      <c r="G171" s="15">
        <f t="shared" si="7"/>
        <v>0.25</v>
      </c>
      <c r="H171" s="16">
        <f t="shared" si="8"/>
        <v>24646.5</v>
      </c>
    </row>
    <row r="172" spans="1:8" x14ac:dyDescent="0.3">
      <c r="A172" t="s">
        <v>58</v>
      </c>
      <c r="B172" t="s">
        <v>9</v>
      </c>
      <c r="C172" t="s">
        <v>14</v>
      </c>
      <c r="D172" t="s">
        <v>13</v>
      </c>
      <c r="E172" s="8">
        <v>5586</v>
      </c>
      <c r="F172" s="16">
        <f t="shared" si="6"/>
        <v>12</v>
      </c>
      <c r="G172" s="15">
        <f t="shared" si="7"/>
        <v>0.25</v>
      </c>
      <c r="H172" s="16">
        <f t="shared" si="8"/>
        <v>16758</v>
      </c>
    </row>
    <row r="173" spans="1:8" x14ac:dyDescent="0.3">
      <c r="A173" t="s">
        <v>58</v>
      </c>
      <c r="B173" t="s">
        <v>15</v>
      </c>
      <c r="C173" t="s">
        <v>16</v>
      </c>
      <c r="D173" t="s">
        <v>11</v>
      </c>
      <c r="E173" s="8">
        <v>792</v>
      </c>
      <c r="F173" s="16">
        <f t="shared" si="6"/>
        <v>18</v>
      </c>
      <c r="G173" s="15">
        <f t="shared" si="7"/>
        <v>0.6</v>
      </c>
      <c r="H173" s="16">
        <f t="shared" si="8"/>
        <v>8553.6</v>
      </c>
    </row>
    <row r="174" spans="1:8" x14ac:dyDescent="0.3">
      <c r="A174" t="s">
        <v>59</v>
      </c>
      <c r="B174" t="s">
        <v>9</v>
      </c>
      <c r="C174" t="s">
        <v>10</v>
      </c>
      <c r="D174" t="s">
        <v>11</v>
      </c>
      <c r="E174" s="8">
        <v>731</v>
      </c>
      <c r="F174" s="16">
        <f t="shared" si="6"/>
        <v>24</v>
      </c>
      <c r="G174" s="15">
        <f t="shared" si="7"/>
        <v>0.6</v>
      </c>
      <c r="H174" s="16">
        <f t="shared" si="8"/>
        <v>10526.4</v>
      </c>
    </row>
    <row r="175" spans="1:8" x14ac:dyDescent="0.3">
      <c r="A175" t="s">
        <v>59</v>
      </c>
      <c r="B175" t="s">
        <v>9</v>
      </c>
      <c r="C175" t="s">
        <v>12</v>
      </c>
      <c r="D175" t="s">
        <v>13</v>
      </c>
      <c r="E175" s="8">
        <v>42218</v>
      </c>
      <c r="F175" s="16">
        <f t="shared" si="6"/>
        <v>6</v>
      </c>
      <c r="G175" s="15">
        <f t="shared" si="7"/>
        <v>0.25</v>
      </c>
      <c r="H175" s="16">
        <f t="shared" si="8"/>
        <v>63327</v>
      </c>
    </row>
    <row r="176" spans="1:8" x14ac:dyDescent="0.3">
      <c r="A176" t="s">
        <v>59</v>
      </c>
      <c r="B176" t="s">
        <v>9</v>
      </c>
      <c r="C176" t="s">
        <v>14</v>
      </c>
      <c r="D176" t="s">
        <v>13</v>
      </c>
      <c r="E176" s="8">
        <v>21697</v>
      </c>
      <c r="F176" s="16">
        <f t="shared" si="6"/>
        <v>12</v>
      </c>
      <c r="G176" s="15">
        <f t="shared" si="7"/>
        <v>0.25</v>
      </c>
      <c r="H176" s="16">
        <f t="shared" si="8"/>
        <v>65091</v>
      </c>
    </row>
    <row r="177" spans="1:8" x14ac:dyDescent="0.3">
      <c r="A177" t="s">
        <v>59</v>
      </c>
      <c r="B177" t="s">
        <v>15</v>
      </c>
      <c r="C177" t="s">
        <v>16</v>
      </c>
      <c r="D177" t="s">
        <v>11</v>
      </c>
      <c r="E177" s="8">
        <v>2585</v>
      </c>
      <c r="F177" s="16">
        <f t="shared" si="6"/>
        <v>18</v>
      </c>
      <c r="G177" s="15">
        <f t="shared" si="7"/>
        <v>0.6</v>
      </c>
      <c r="H177" s="16">
        <f t="shared" si="8"/>
        <v>27918</v>
      </c>
    </row>
    <row r="178" spans="1:8" x14ac:dyDescent="0.3">
      <c r="A178" t="s">
        <v>60</v>
      </c>
      <c r="B178" t="s">
        <v>9</v>
      </c>
      <c r="C178" t="s">
        <v>10</v>
      </c>
      <c r="D178" t="s">
        <v>11</v>
      </c>
      <c r="E178" s="8">
        <v>46</v>
      </c>
      <c r="F178" s="16">
        <f t="shared" si="6"/>
        <v>24</v>
      </c>
      <c r="G178" s="15">
        <f t="shared" si="7"/>
        <v>0.6</v>
      </c>
      <c r="H178" s="16">
        <f t="shared" si="8"/>
        <v>662.4</v>
      </c>
    </row>
    <row r="179" spans="1:8" x14ac:dyDescent="0.3">
      <c r="A179" t="s">
        <v>60</v>
      </c>
      <c r="B179" t="s">
        <v>9</v>
      </c>
      <c r="C179" t="s">
        <v>12</v>
      </c>
      <c r="D179" t="s">
        <v>13</v>
      </c>
      <c r="E179" s="8">
        <v>5538</v>
      </c>
      <c r="F179" s="16">
        <f t="shared" si="6"/>
        <v>6</v>
      </c>
      <c r="G179" s="15">
        <f t="shared" si="7"/>
        <v>0.25</v>
      </c>
      <c r="H179" s="16">
        <f t="shared" si="8"/>
        <v>8307</v>
      </c>
    </row>
    <row r="180" spans="1:8" x14ac:dyDescent="0.3">
      <c r="A180" t="s">
        <v>60</v>
      </c>
      <c r="B180" t="s">
        <v>9</v>
      </c>
      <c r="C180" t="s">
        <v>14</v>
      </c>
      <c r="D180" t="s">
        <v>13</v>
      </c>
      <c r="E180" s="8">
        <v>2010</v>
      </c>
      <c r="F180" s="16">
        <f t="shared" si="6"/>
        <v>12</v>
      </c>
      <c r="G180" s="15">
        <f t="shared" si="7"/>
        <v>0.25</v>
      </c>
      <c r="H180" s="16">
        <f t="shared" si="8"/>
        <v>6030</v>
      </c>
    </row>
    <row r="181" spans="1:8" x14ac:dyDescent="0.3">
      <c r="A181" t="s">
        <v>60</v>
      </c>
      <c r="B181" t="s">
        <v>15</v>
      </c>
      <c r="C181" t="s">
        <v>16</v>
      </c>
      <c r="D181" t="s">
        <v>11</v>
      </c>
      <c r="E181" s="8">
        <v>226</v>
      </c>
      <c r="F181" s="16">
        <f t="shared" si="6"/>
        <v>18</v>
      </c>
      <c r="G181" s="15">
        <f t="shared" si="7"/>
        <v>0.6</v>
      </c>
      <c r="H181" s="16">
        <f t="shared" si="8"/>
        <v>2440.7999999999997</v>
      </c>
    </row>
    <row r="182" spans="1:8" x14ac:dyDescent="0.3">
      <c r="A182" t="s">
        <v>61</v>
      </c>
      <c r="B182" t="s">
        <v>9</v>
      </c>
      <c r="C182" t="s">
        <v>10</v>
      </c>
      <c r="D182" t="s">
        <v>11</v>
      </c>
      <c r="E182" s="8">
        <v>263</v>
      </c>
      <c r="F182" s="16">
        <f t="shared" si="6"/>
        <v>24</v>
      </c>
      <c r="G182" s="15">
        <f t="shared" si="7"/>
        <v>0.6</v>
      </c>
      <c r="H182" s="16">
        <f t="shared" si="8"/>
        <v>3787.2</v>
      </c>
    </row>
    <row r="183" spans="1:8" x14ac:dyDescent="0.3">
      <c r="A183" t="s">
        <v>61</v>
      </c>
      <c r="B183" t="s">
        <v>9</v>
      </c>
      <c r="C183" t="s">
        <v>12</v>
      </c>
      <c r="D183" t="s">
        <v>13</v>
      </c>
      <c r="E183" s="8">
        <v>14615</v>
      </c>
      <c r="F183" s="16">
        <f t="shared" si="6"/>
        <v>6</v>
      </c>
      <c r="G183" s="15">
        <f t="shared" si="7"/>
        <v>0.25</v>
      </c>
      <c r="H183" s="16">
        <f t="shared" si="8"/>
        <v>21922.5</v>
      </c>
    </row>
    <row r="184" spans="1:8" x14ac:dyDescent="0.3">
      <c r="A184" t="s">
        <v>61</v>
      </c>
      <c r="B184" t="s">
        <v>9</v>
      </c>
      <c r="C184" t="s">
        <v>14</v>
      </c>
      <c r="D184" t="s">
        <v>13</v>
      </c>
      <c r="E184" s="8">
        <v>8312</v>
      </c>
      <c r="F184" s="16">
        <f t="shared" si="6"/>
        <v>12</v>
      </c>
      <c r="G184" s="15">
        <f t="shared" si="7"/>
        <v>0.25</v>
      </c>
      <c r="H184" s="16">
        <f t="shared" si="8"/>
        <v>24936</v>
      </c>
    </row>
    <row r="185" spans="1:8" x14ac:dyDescent="0.3">
      <c r="A185" t="s">
        <v>61</v>
      </c>
      <c r="B185" t="s">
        <v>15</v>
      </c>
      <c r="C185" t="s">
        <v>16</v>
      </c>
      <c r="D185" t="s">
        <v>11</v>
      </c>
      <c r="E185" s="8">
        <v>727</v>
      </c>
      <c r="F185" s="16">
        <f t="shared" si="6"/>
        <v>18</v>
      </c>
      <c r="G185" s="15">
        <f t="shared" si="7"/>
        <v>0.6</v>
      </c>
      <c r="H185" s="16">
        <f t="shared" si="8"/>
        <v>7851.5999999999995</v>
      </c>
    </row>
    <row r="186" spans="1:8" x14ac:dyDescent="0.3">
      <c r="A186" t="s">
        <v>62</v>
      </c>
      <c r="B186" t="s">
        <v>9</v>
      </c>
      <c r="C186" t="s">
        <v>10</v>
      </c>
      <c r="D186" t="s">
        <v>11</v>
      </c>
      <c r="E186" s="8">
        <v>19</v>
      </c>
      <c r="F186" s="16">
        <f t="shared" si="6"/>
        <v>24</v>
      </c>
      <c r="G186" s="15">
        <f t="shared" si="7"/>
        <v>0.6</v>
      </c>
      <c r="H186" s="16">
        <f t="shared" si="8"/>
        <v>273.59999999999997</v>
      </c>
    </row>
    <row r="187" spans="1:8" x14ac:dyDescent="0.3">
      <c r="A187" t="s">
        <v>62</v>
      </c>
      <c r="B187" t="s">
        <v>9</v>
      </c>
      <c r="C187" t="s">
        <v>12</v>
      </c>
      <c r="D187" t="s">
        <v>13</v>
      </c>
      <c r="E187" s="8">
        <v>1189</v>
      </c>
      <c r="F187" s="16">
        <f t="shared" si="6"/>
        <v>6</v>
      </c>
      <c r="G187" s="15">
        <f t="shared" si="7"/>
        <v>0.25</v>
      </c>
      <c r="H187" s="16">
        <f t="shared" si="8"/>
        <v>1783.5</v>
      </c>
    </row>
    <row r="188" spans="1:8" x14ac:dyDescent="0.3">
      <c r="A188" t="s">
        <v>62</v>
      </c>
      <c r="B188" t="s">
        <v>9</v>
      </c>
      <c r="C188" t="s">
        <v>14</v>
      </c>
      <c r="D188" t="s">
        <v>13</v>
      </c>
      <c r="E188" s="8">
        <v>817</v>
      </c>
      <c r="F188" s="16">
        <f t="shared" si="6"/>
        <v>12</v>
      </c>
      <c r="G188" s="15">
        <f t="shared" si="7"/>
        <v>0.25</v>
      </c>
      <c r="H188" s="16">
        <f t="shared" si="8"/>
        <v>2451</v>
      </c>
    </row>
    <row r="189" spans="1:8" x14ac:dyDescent="0.3">
      <c r="A189" t="s">
        <v>62</v>
      </c>
      <c r="B189" t="s">
        <v>15</v>
      </c>
      <c r="C189" t="s">
        <v>16</v>
      </c>
      <c r="D189" t="s">
        <v>11</v>
      </c>
      <c r="E189" s="8">
        <v>73</v>
      </c>
      <c r="F189" s="16">
        <f t="shared" si="6"/>
        <v>18</v>
      </c>
      <c r="G189" s="15">
        <f t="shared" si="7"/>
        <v>0.6</v>
      </c>
      <c r="H189" s="16">
        <f t="shared" si="8"/>
        <v>788.4</v>
      </c>
    </row>
    <row r="190" spans="1:8" x14ac:dyDescent="0.3">
      <c r="A190" t="s">
        <v>63</v>
      </c>
      <c r="B190" t="s">
        <v>9</v>
      </c>
      <c r="C190" t="s">
        <v>10</v>
      </c>
      <c r="D190" t="s">
        <v>11</v>
      </c>
      <c r="E190" s="8">
        <v>217</v>
      </c>
      <c r="F190" s="16">
        <f t="shared" si="6"/>
        <v>24</v>
      </c>
      <c r="G190" s="15">
        <f t="shared" si="7"/>
        <v>0.6</v>
      </c>
      <c r="H190" s="16">
        <f t="shared" si="8"/>
        <v>3124.7999999999997</v>
      </c>
    </row>
    <row r="191" spans="1:8" x14ac:dyDescent="0.3">
      <c r="A191" t="s">
        <v>63</v>
      </c>
      <c r="B191" t="s">
        <v>9</v>
      </c>
      <c r="C191" t="s">
        <v>12</v>
      </c>
      <c r="D191" t="s">
        <v>13</v>
      </c>
      <c r="E191" s="8">
        <v>11650</v>
      </c>
      <c r="F191" s="16">
        <f t="shared" si="6"/>
        <v>6</v>
      </c>
      <c r="G191" s="15">
        <f t="shared" si="7"/>
        <v>0.25</v>
      </c>
      <c r="H191" s="16">
        <f t="shared" si="8"/>
        <v>17475</v>
      </c>
    </row>
    <row r="192" spans="1:8" x14ac:dyDescent="0.3">
      <c r="A192" t="s">
        <v>63</v>
      </c>
      <c r="B192" t="s">
        <v>9</v>
      </c>
      <c r="C192" t="s">
        <v>14</v>
      </c>
      <c r="D192" t="s">
        <v>13</v>
      </c>
      <c r="E192" s="8">
        <v>8951</v>
      </c>
      <c r="F192" s="16">
        <f t="shared" si="6"/>
        <v>12</v>
      </c>
      <c r="G192" s="15">
        <f t="shared" si="7"/>
        <v>0.25</v>
      </c>
      <c r="H192" s="16">
        <f t="shared" si="8"/>
        <v>26853</v>
      </c>
    </row>
    <row r="193" spans="1:8" x14ac:dyDescent="0.3">
      <c r="A193" t="s">
        <v>63</v>
      </c>
      <c r="B193" t="s">
        <v>15</v>
      </c>
      <c r="C193" t="s">
        <v>16</v>
      </c>
      <c r="D193" t="s">
        <v>11</v>
      </c>
      <c r="E193" s="8">
        <v>1024</v>
      </c>
      <c r="F193" s="16">
        <f t="shared" si="6"/>
        <v>18</v>
      </c>
      <c r="G193" s="15">
        <f t="shared" si="7"/>
        <v>0.6</v>
      </c>
      <c r="H193" s="16">
        <f t="shared" si="8"/>
        <v>11059.199999999999</v>
      </c>
    </row>
    <row r="194" spans="1:8" x14ac:dyDescent="0.3">
      <c r="A194" t="s">
        <v>64</v>
      </c>
      <c r="B194" t="s">
        <v>9</v>
      </c>
      <c r="C194" t="s">
        <v>10</v>
      </c>
      <c r="D194" t="s">
        <v>11</v>
      </c>
      <c r="E194" s="8">
        <v>190</v>
      </c>
      <c r="F194" s="16">
        <f t="shared" ref="F194:F205" si="9">INDEX(seg_calls,MATCH($C194,seg_names,0))</f>
        <v>24</v>
      </c>
      <c r="G194" s="15">
        <f t="shared" ref="G194:G205" si="10">INDEX(seg_share,MATCH($C194,seg_names,0))</f>
        <v>0.6</v>
      </c>
      <c r="H194" s="16">
        <f t="shared" ref="H194:H205" si="11">$E194*$F194*$G194</f>
        <v>2736</v>
      </c>
    </row>
    <row r="195" spans="1:8" x14ac:dyDescent="0.3">
      <c r="A195" t="s">
        <v>64</v>
      </c>
      <c r="B195" t="s">
        <v>9</v>
      </c>
      <c r="C195" t="s">
        <v>12</v>
      </c>
      <c r="D195" t="s">
        <v>13</v>
      </c>
      <c r="E195" s="8">
        <v>11744</v>
      </c>
      <c r="F195" s="16">
        <f t="shared" si="9"/>
        <v>6</v>
      </c>
      <c r="G195" s="15">
        <f t="shared" si="10"/>
        <v>0.25</v>
      </c>
      <c r="H195" s="16">
        <f t="shared" si="11"/>
        <v>17616</v>
      </c>
    </row>
    <row r="196" spans="1:8" x14ac:dyDescent="0.3">
      <c r="A196" t="s">
        <v>64</v>
      </c>
      <c r="B196" t="s">
        <v>9</v>
      </c>
      <c r="C196" t="s">
        <v>14</v>
      </c>
      <c r="D196" t="s">
        <v>13</v>
      </c>
      <c r="E196" s="8">
        <v>6114</v>
      </c>
      <c r="F196" s="16">
        <f t="shared" si="9"/>
        <v>12</v>
      </c>
      <c r="G196" s="15">
        <f t="shared" si="10"/>
        <v>0.25</v>
      </c>
      <c r="H196" s="16">
        <f t="shared" si="11"/>
        <v>18342</v>
      </c>
    </row>
    <row r="197" spans="1:8" x14ac:dyDescent="0.3">
      <c r="A197" t="s">
        <v>64</v>
      </c>
      <c r="B197" t="s">
        <v>15</v>
      </c>
      <c r="C197" t="s">
        <v>16</v>
      </c>
      <c r="D197" t="s">
        <v>11</v>
      </c>
      <c r="E197" s="8">
        <v>673</v>
      </c>
      <c r="F197" s="16">
        <f t="shared" si="9"/>
        <v>18</v>
      </c>
      <c r="G197" s="15">
        <f t="shared" si="10"/>
        <v>0.6</v>
      </c>
      <c r="H197" s="16">
        <f t="shared" si="11"/>
        <v>7268.4</v>
      </c>
    </row>
    <row r="198" spans="1:8" x14ac:dyDescent="0.3">
      <c r="A198" t="s">
        <v>65</v>
      </c>
      <c r="B198" t="s">
        <v>9</v>
      </c>
      <c r="C198" t="s">
        <v>10</v>
      </c>
      <c r="D198" t="s">
        <v>11</v>
      </c>
      <c r="E198" s="8">
        <v>63</v>
      </c>
      <c r="F198" s="16">
        <f t="shared" si="9"/>
        <v>24</v>
      </c>
      <c r="G198" s="15">
        <f t="shared" si="10"/>
        <v>0.6</v>
      </c>
      <c r="H198" s="16">
        <f t="shared" si="11"/>
        <v>907.19999999999993</v>
      </c>
    </row>
    <row r="199" spans="1:8" x14ac:dyDescent="0.3">
      <c r="A199" t="s">
        <v>65</v>
      </c>
      <c r="B199" t="s">
        <v>9</v>
      </c>
      <c r="C199" t="s">
        <v>12</v>
      </c>
      <c r="D199" t="s">
        <v>13</v>
      </c>
      <c r="E199" s="8">
        <v>4301</v>
      </c>
      <c r="F199" s="16">
        <f t="shared" si="9"/>
        <v>6</v>
      </c>
      <c r="G199" s="15">
        <f t="shared" si="10"/>
        <v>0.25</v>
      </c>
      <c r="H199" s="16">
        <f t="shared" si="11"/>
        <v>6451.5</v>
      </c>
    </row>
    <row r="200" spans="1:8" x14ac:dyDescent="0.3">
      <c r="A200" t="s">
        <v>65</v>
      </c>
      <c r="B200" t="s">
        <v>9</v>
      </c>
      <c r="C200" t="s">
        <v>14</v>
      </c>
      <c r="D200" t="s">
        <v>13</v>
      </c>
      <c r="E200" s="8">
        <v>2018</v>
      </c>
      <c r="F200" s="16">
        <f t="shared" si="9"/>
        <v>12</v>
      </c>
      <c r="G200" s="15">
        <f t="shared" si="10"/>
        <v>0.25</v>
      </c>
      <c r="H200" s="16">
        <f t="shared" si="11"/>
        <v>6054</v>
      </c>
    </row>
    <row r="201" spans="1:8" x14ac:dyDescent="0.3">
      <c r="A201" t="s">
        <v>65</v>
      </c>
      <c r="B201" t="s">
        <v>15</v>
      </c>
      <c r="C201" t="s">
        <v>16</v>
      </c>
      <c r="D201" t="s">
        <v>11</v>
      </c>
      <c r="E201" s="8">
        <v>152</v>
      </c>
      <c r="F201" s="16">
        <f t="shared" si="9"/>
        <v>18</v>
      </c>
      <c r="G201" s="15">
        <f t="shared" si="10"/>
        <v>0.6</v>
      </c>
      <c r="H201" s="16">
        <f t="shared" si="11"/>
        <v>1641.6</v>
      </c>
    </row>
    <row r="202" spans="1:8" x14ac:dyDescent="0.3">
      <c r="A202" t="s">
        <v>66</v>
      </c>
      <c r="B202" t="s">
        <v>9</v>
      </c>
      <c r="C202" t="s">
        <v>10</v>
      </c>
      <c r="D202" t="s">
        <v>11</v>
      </c>
      <c r="E202" s="8">
        <v>3</v>
      </c>
      <c r="F202" s="16">
        <f t="shared" si="9"/>
        <v>24</v>
      </c>
      <c r="G202" s="15">
        <f t="shared" si="10"/>
        <v>0.6</v>
      </c>
      <c r="H202" s="16">
        <f t="shared" si="11"/>
        <v>43.199999999999996</v>
      </c>
    </row>
    <row r="203" spans="1:8" x14ac:dyDescent="0.3">
      <c r="A203" t="s">
        <v>66</v>
      </c>
      <c r="B203" t="s">
        <v>9</v>
      </c>
      <c r="C203" t="s">
        <v>12</v>
      </c>
      <c r="D203" t="s">
        <v>13</v>
      </c>
      <c r="E203" s="8">
        <v>952</v>
      </c>
      <c r="F203" s="16">
        <f t="shared" si="9"/>
        <v>6</v>
      </c>
      <c r="G203" s="15">
        <f t="shared" si="10"/>
        <v>0.25</v>
      </c>
      <c r="H203" s="16">
        <f t="shared" si="11"/>
        <v>1428</v>
      </c>
    </row>
    <row r="204" spans="1:8" x14ac:dyDescent="0.3">
      <c r="A204" t="s">
        <v>66</v>
      </c>
      <c r="B204" t="s">
        <v>9</v>
      </c>
      <c r="C204" t="s">
        <v>14</v>
      </c>
      <c r="D204" t="s">
        <v>13</v>
      </c>
      <c r="E204" s="8">
        <v>542</v>
      </c>
      <c r="F204" s="16">
        <f t="shared" si="9"/>
        <v>12</v>
      </c>
      <c r="G204" s="15">
        <f t="shared" si="10"/>
        <v>0.25</v>
      </c>
      <c r="H204" s="16">
        <f t="shared" si="11"/>
        <v>1626</v>
      </c>
    </row>
    <row r="205" spans="1:8" x14ac:dyDescent="0.3">
      <c r="A205" t="s">
        <v>66</v>
      </c>
      <c r="B205" t="s">
        <v>15</v>
      </c>
      <c r="C205" t="s">
        <v>16</v>
      </c>
      <c r="D205" t="s">
        <v>11</v>
      </c>
      <c r="E205" s="8">
        <v>24</v>
      </c>
      <c r="F205" s="16">
        <f t="shared" si="9"/>
        <v>18</v>
      </c>
      <c r="G205" s="15">
        <f t="shared" si="10"/>
        <v>0.6</v>
      </c>
      <c r="H205" s="16">
        <f t="shared" si="11"/>
        <v>259.2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4A3B8"/>
  </sheetPr>
  <dimension ref="A1:E103"/>
  <sheetViews>
    <sheetView showGridLines="0" workbookViewId="0"/>
  </sheetViews>
  <sheetFormatPr defaultRowHeight="14.4" x14ac:dyDescent="0.3"/>
  <cols>
    <col min="1" max="5" width="20.6640625" customWidth="1"/>
  </cols>
  <sheetData>
    <row r="1" spans="1:5" ht="27.6" x14ac:dyDescent="0.3">
      <c r="A1" s="23" t="s">
        <v>0</v>
      </c>
      <c r="B1" s="23" t="s">
        <v>1</v>
      </c>
      <c r="C1" s="23" t="s">
        <v>67</v>
      </c>
      <c r="D1" s="23" t="s">
        <v>68</v>
      </c>
      <c r="E1" s="23" t="s">
        <v>69</v>
      </c>
    </row>
    <row r="2" spans="1:5" x14ac:dyDescent="0.3">
      <c r="A2" t="s">
        <v>8</v>
      </c>
      <c r="B2" t="s">
        <v>9</v>
      </c>
      <c r="C2" s="8">
        <v>553317</v>
      </c>
      <c r="D2" s="8">
        <v>48855</v>
      </c>
      <c r="E2" s="8">
        <v>30</v>
      </c>
    </row>
    <row r="3" spans="1:5" x14ac:dyDescent="0.3">
      <c r="A3" t="s">
        <v>8</v>
      </c>
      <c r="B3" t="s">
        <v>15</v>
      </c>
      <c r="C3" s="8">
        <v>553317</v>
      </c>
      <c r="D3" s="8">
        <v>34331</v>
      </c>
      <c r="E3" s="8">
        <v>30</v>
      </c>
    </row>
    <row r="4" spans="1:5" x14ac:dyDescent="0.3">
      <c r="A4" t="s">
        <v>17</v>
      </c>
      <c r="B4" t="s">
        <v>9</v>
      </c>
      <c r="C4" s="8">
        <v>3917625</v>
      </c>
      <c r="D4" s="8">
        <v>543042</v>
      </c>
      <c r="E4" s="8">
        <v>67</v>
      </c>
    </row>
    <row r="5" spans="1:5" x14ac:dyDescent="0.3">
      <c r="A5" t="s">
        <v>17</v>
      </c>
      <c r="B5" t="s">
        <v>15</v>
      </c>
      <c r="C5" s="8">
        <v>3917625</v>
      </c>
      <c r="D5" s="8">
        <v>285914</v>
      </c>
      <c r="E5" s="8">
        <v>67</v>
      </c>
    </row>
    <row r="6" spans="1:5" x14ac:dyDescent="0.3">
      <c r="A6" t="s">
        <v>18</v>
      </c>
      <c r="B6" t="s">
        <v>9</v>
      </c>
      <c r="C6" s="8">
        <v>2322502</v>
      </c>
      <c r="D6" s="8">
        <v>291944</v>
      </c>
      <c r="E6" s="8">
        <v>75</v>
      </c>
    </row>
    <row r="7" spans="1:5" x14ac:dyDescent="0.3">
      <c r="A7" t="s">
        <v>18</v>
      </c>
      <c r="B7" t="s">
        <v>15</v>
      </c>
      <c r="C7" s="8">
        <v>2322502</v>
      </c>
      <c r="D7" s="8">
        <v>170191</v>
      </c>
      <c r="E7" s="8">
        <v>75</v>
      </c>
    </row>
    <row r="8" spans="1:5" x14ac:dyDescent="0.3">
      <c r="A8" t="s">
        <v>19</v>
      </c>
      <c r="B8" t="s">
        <v>9</v>
      </c>
      <c r="C8" s="8">
        <v>5662328</v>
      </c>
      <c r="D8" s="8">
        <v>624417</v>
      </c>
      <c r="E8" s="8">
        <v>15</v>
      </c>
    </row>
    <row r="9" spans="1:5" x14ac:dyDescent="0.3">
      <c r="A9" t="s">
        <v>19</v>
      </c>
      <c r="B9" t="s">
        <v>15</v>
      </c>
      <c r="C9" s="8">
        <v>5662328</v>
      </c>
      <c r="D9" s="8">
        <v>414561</v>
      </c>
      <c r="E9" s="8">
        <v>15</v>
      </c>
    </row>
    <row r="10" spans="1:5" x14ac:dyDescent="0.3">
      <c r="A10" t="s">
        <v>20</v>
      </c>
      <c r="B10" t="s">
        <v>9</v>
      </c>
      <c r="C10" s="8">
        <v>30465205</v>
      </c>
      <c r="D10" s="8">
        <v>3486385</v>
      </c>
      <c r="E10" s="8">
        <v>58</v>
      </c>
    </row>
    <row r="11" spans="1:5" x14ac:dyDescent="0.3">
      <c r="A11" t="s">
        <v>20</v>
      </c>
      <c r="B11" t="s">
        <v>15</v>
      </c>
      <c r="C11" s="8">
        <v>30465205</v>
      </c>
      <c r="D11" s="8">
        <v>1793815</v>
      </c>
      <c r="E11" s="8">
        <v>58</v>
      </c>
    </row>
    <row r="12" spans="1:5" x14ac:dyDescent="0.3">
      <c r="A12" t="s">
        <v>21</v>
      </c>
      <c r="B12" t="s">
        <v>9</v>
      </c>
      <c r="C12" s="8">
        <v>4568613</v>
      </c>
      <c r="D12" s="8">
        <v>359156</v>
      </c>
      <c r="E12" s="8">
        <v>64</v>
      </c>
    </row>
    <row r="13" spans="1:5" x14ac:dyDescent="0.3">
      <c r="A13" t="s">
        <v>21</v>
      </c>
      <c r="B13" t="s">
        <v>15</v>
      </c>
      <c r="C13" s="8">
        <v>4568613</v>
      </c>
      <c r="D13" s="8">
        <v>296314</v>
      </c>
      <c r="E13" s="8">
        <v>64</v>
      </c>
    </row>
    <row r="14" spans="1:5" x14ac:dyDescent="0.3">
      <c r="A14" t="s">
        <v>22</v>
      </c>
      <c r="B14" t="s">
        <v>9</v>
      </c>
      <c r="C14" s="8">
        <v>2875887</v>
      </c>
      <c r="D14" s="8">
        <v>293215</v>
      </c>
      <c r="E14" s="8">
        <v>8</v>
      </c>
    </row>
    <row r="15" spans="1:5" x14ac:dyDescent="0.3">
      <c r="A15" t="s">
        <v>22</v>
      </c>
      <c r="B15" t="s">
        <v>15</v>
      </c>
      <c r="C15" s="8">
        <v>2875887</v>
      </c>
      <c r="D15" s="8">
        <v>210047</v>
      </c>
      <c r="E15" s="8">
        <v>8</v>
      </c>
    </row>
    <row r="16" spans="1:5" x14ac:dyDescent="0.3">
      <c r="A16" t="s">
        <v>23</v>
      </c>
      <c r="B16" t="s">
        <v>9</v>
      </c>
      <c r="C16" s="8">
        <v>544215</v>
      </c>
      <c r="D16" s="8">
        <v>42449</v>
      </c>
      <c r="E16" s="8">
        <v>1</v>
      </c>
    </row>
    <row r="17" spans="1:5" x14ac:dyDescent="0.3">
      <c r="A17" t="s">
        <v>23</v>
      </c>
      <c r="B17" t="s">
        <v>15</v>
      </c>
      <c r="C17" s="8">
        <v>544215</v>
      </c>
      <c r="D17" s="8">
        <v>29388</v>
      </c>
      <c r="E17" s="8">
        <v>1</v>
      </c>
    </row>
    <row r="18" spans="1:5" x14ac:dyDescent="0.3">
      <c r="A18" t="s">
        <v>24</v>
      </c>
      <c r="B18" t="s">
        <v>9</v>
      </c>
      <c r="C18" s="8">
        <v>795090</v>
      </c>
      <c r="D18" s="8">
        <v>97012</v>
      </c>
      <c r="E18" s="8">
        <v>3</v>
      </c>
    </row>
    <row r="19" spans="1:5" x14ac:dyDescent="0.3">
      <c r="A19" t="s">
        <v>24</v>
      </c>
      <c r="B19" t="s">
        <v>15</v>
      </c>
      <c r="C19" s="8">
        <v>795090</v>
      </c>
      <c r="D19" s="8">
        <v>60758</v>
      </c>
      <c r="E19" s="8">
        <v>3</v>
      </c>
    </row>
    <row r="20" spans="1:5" x14ac:dyDescent="0.3">
      <c r="A20" t="s">
        <v>25</v>
      </c>
      <c r="B20" t="s">
        <v>9</v>
      </c>
      <c r="C20" s="8">
        <v>17491848</v>
      </c>
      <c r="D20" s="8">
        <v>2333517</v>
      </c>
      <c r="E20" s="8">
        <v>67</v>
      </c>
    </row>
    <row r="21" spans="1:5" x14ac:dyDescent="0.3">
      <c r="A21" t="s">
        <v>25</v>
      </c>
      <c r="B21" t="s">
        <v>15</v>
      </c>
      <c r="C21" s="8">
        <v>17491848</v>
      </c>
      <c r="D21" s="8">
        <v>1612494</v>
      </c>
      <c r="E21" s="8">
        <v>67</v>
      </c>
    </row>
    <row r="22" spans="1:5" x14ac:dyDescent="0.3">
      <c r="A22" t="s">
        <v>26</v>
      </c>
      <c r="B22" t="s">
        <v>9</v>
      </c>
      <c r="C22" s="8">
        <v>8275264</v>
      </c>
      <c r="D22" s="8">
        <v>1038213</v>
      </c>
      <c r="E22" s="8">
        <v>159</v>
      </c>
    </row>
    <row r="23" spans="1:5" x14ac:dyDescent="0.3">
      <c r="A23" t="s">
        <v>26</v>
      </c>
      <c r="B23" t="s">
        <v>15</v>
      </c>
      <c r="C23" s="8">
        <v>8275264</v>
      </c>
      <c r="D23" s="8">
        <v>522870</v>
      </c>
      <c r="E23" s="8">
        <v>159</v>
      </c>
    </row>
    <row r="24" spans="1:5" x14ac:dyDescent="0.3">
      <c r="A24" t="s">
        <v>27</v>
      </c>
      <c r="B24" t="s">
        <v>9</v>
      </c>
      <c r="C24" s="8">
        <v>1137154</v>
      </c>
      <c r="D24" s="8">
        <v>120470</v>
      </c>
      <c r="E24" s="8">
        <v>5</v>
      </c>
    </row>
    <row r="25" spans="1:5" x14ac:dyDescent="0.3">
      <c r="A25" t="s">
        <v>27</v>
      </c>
      <c r="B25" t="s">
        <v>15</v>
      </c>
      <c r="C25" s="8">
        <v>1137154</v>
      </c>
      <c r="D25" s="8">
        <v>72154</v>
      </c>
      <c r="E25" s="8">
        <v>5</v>
      </c>
    </row>
    <row r="26" spans="1:5" x14ac:dyDescent="0.3">
      <c r="A26" t="s">
        <v>28</v>
      </c>
      <c r="B26" t="s">
        <v>9</v>
      </c>
      <c r="C26" s="8">
        <v>2456703</v>
      </c>
      <c r="D26" s="8">
        <v>242683</v>
      </c>
      <c r="E26" s="8">
        <v>99</v>
      </c>
    </row>
    <row r="27" spans="1:5" x14ac:dyDescent="0.3">
      <c r="A27" t="s">
        <v>28</v>
      </c>
      <c r="B27" t="s">
        <v>15</v>
      </c>
      <c r="C27" s="8">
        <v>2456703</v>
      </c>
      <c r="D27" s="8">
        <v>183354</v>
      </c>
      <c r="E27" s="8">
        <v>99</v>
      </c>
    </row>
    <row r="28" spans="1:5" x14ac:dyDescent="0.3">
      <c r="A28" t="s">
        <v>29</v>
      </c>
      <c r="B28" t="s">
        <v>9</v>
      </c>
      <c r="C28" s="8">
        <v>1431897</v>
      </c>
      <c r="D28" s="8">
        <v>146944</v>
      </c>
      <c r="E28" s="8">
        <v>44</v>
      </c>
    </row>
    <row r="29" spans="1:5" x14ac:dyDescent="0.3">
      <c r="A29" t="s">
        <v>29</v>
      </c>
      <c r="B29" t="s">
        <v>15</v>
      </c>
      <c r="C29" s="8">
        <v>1431897</v>
      </c>
      <c r="D29" s="8">
        <v>102942</v>
      </c>
      <c r="E29" s="8">
        <v>44</v>
      </c>
    </row>
    <row r="30" spans="1:5" x14ac:dyDescent="0.3">
      <c r="A30" t="s">
        <v>30</v>
      </c>
      <c r="B30" t="s">
        <v>9</v>
      </c>
      <c r="C30" s="8">
        <v>9868245</v>
      </c>
      <c r="D30" s="8">
        <v>1083816</v>
      </c>
      <c r="E30" s="8">
        <v>102</v>
      </c>
    </row>
    <row r="31" spans="1:5" x14ac:dyDescent="0.3">
      <c r="A31" t="s">
        <v>30</v>
      </c>
      <c r="B31" t="s">
        <v>15</v>
      </c>
      <c r="C31" s="8">
        <v>9868245</v>
      </c>
      <c r="D31" s="8">
        <v>673470</v>
      </c>
      <c r="E31" s="8">
        <v>102</v>
      </c>
    </row>
    <row r="32" spans="1:5" x14ac:dyDescent="0.3">
      <c r="A32" t="s">
        <v>31</v>
      </c>
      <c r="B32" t="s">
        <v>9</v>
      </c>
      <c r="C32" s="8">
        <v>5218979</v>
      </c>
      <c r="D32" s="8">
        <v>625762</v>
      </c>
      <c r="E32" s="8">
        <v>92</v>
      </c>
    </row>
    <row r="33" spans="1:5" x14ac:dyDescent="0.3">
      <c r="A33" t="s">
        <v>31</v>
      </c>
      <c r="B33" t="s">
        <v>15</v>
      </c>
      <c r="C33" s="8">
        <v>5218979</v>
      </c>
      <c r="D33" s="8">
        <v>374745</v>
      </c>
      <c r="E33" s="8">
        <v>92</v>
      </c>
    </row>
    <row r="34" spans="1:5" x14ac:dyDescent="0.3">
      <c r="A34" t="s">
        <v>32</v>
      </c>
      <c r="B34" t="s">
        <v>9</v>
      </c>
      <c r="C34" s="8">
        <v>2231518</v>
      </c>
      <c r="D34" s="8">
        <v>248894</v>
      </c>
      <c r="E34" s="8">
        <v>105</v>
      </c>
    </row>
    <row r="35" spans="1:5" x14ac:dyDescent="0.3">
      <c r="A35" t="s">
        <v>32</v>
      </c>
      <c r="B35" t="s">
        <v>15</v>
      </c>
      <c r="C35" s="8">
        <v>2231518</v>
      </c>
      <c r="D35" s="8">
        <v>159729</v>
      </c>
      <c r="E35" s="8">
        <v>105</v>
      </c>
    </row>
    <row r="36" spans="1:5" x14ac:dyDescent="0.3">
      <c r="A36" t="s">
        <v>33</v>
      </c>
      <c r="B36" t="s">
        <v>9</v>
      </c>
      <c r="C36" s="8">
        <v>3493482</v>
      </c>
      <c r="D36" s="8">
        <v>436831</v>
      </c>
      <c r="E36" s="8">
        <v>120</v>
      </c>
    </row>
    <row r="37" spans="1:5" x14ac:dyDescent="0.3">
      <c r="A37" t="s">
        <v>33</v>
      </c>
      <c r="B37" t="s">
        <v>15</v>
      </c>
      <c r="C37" s="8">
        <v>3493482</v>
      </c>
      <c r="D37" s="8">
        <v>257594</v>
      </c>
      <c r="E37" s="8">
        <v>120</v>
      </c>
    </row>
    <row r="38" spans="1:5" x14ac:dyDescent="0.3">
      <c r="A38" t="s">
        <v>34</v>
      </c>
      <c r="B38" t="s">
        <v>9</v>
      </c>
      <c r="C38" s="8">
        <v>3541104</v>
      </c>
      <c r="D38" s="8">
        <v>485073</v>
      </c>
      <c r="E38" s="8">
        <v>64</v>
      </c>
    </row>
    <row r="39" spans="1:5" x14ac:dyDescent="0.3">
      <c r="A39" t="s">
        <v>34</v>
      </c>
      <c r="B39" t="s">
        <v>15</v>
      </c>
      <c r="C39" s="8">
        <v>3541104</v>
      </c>
      <c r="D39" s="8">
        <v>245575</v>
      </c>
      <c r="E39" s="8">
        <v>64</v>
      </c>
    </row>
    <row r="40" spans="1:5" x14ac:dyDescent="0.3">
      <c r="A40" t="s">
        <v>35</v>
      </c>
      <c r="B40" t="s">
        <v>9</v>
      </c>
      <c r="C40" s="8">
        <v>5622590</v>
      </c>
      <c r="D40" s="8">
        <v>515609</v>
      </c>
      <c r="E40" s="8">
        <v>14</v>
      </c>
    </row>
    <row r="41" spans="1:5" x14ac:dyDescent="0.3">
      <c r="A41" t="s">
        <v>35</v>
      </c>
      <c r="B41" t="s">
        <v>15</v>
      </c>
      <c r="C41" s="8">
        <v>5622590</v>
      </c>
      <c r="D41" s="8">
        <v>408337</v>
      </c>
      <c r="E41" s="8">
        <v>14</v>
      </c>
    </row>
    <row r="42" spans="1:5" x14ac:dyDescent="0.3">
      <c r="A42" t="s">
        <v>36</v>
      </c>
      <c r="B42" t="s">
        <v>9</v>
      </c>
      <c r="C42" s="8">
        <v>4801825</v>
      </c>
      <c r="D42" s="8">
        <v>543258</v>
      </c>
      <c r="E42" s="8">
        <v>24</v>
      </c>
    </row>
    <row r="43" spans="1:5" x14ac:dyDescent="0.3">
      <c r="A43" t="s">
        <v>36</v>
      </c>
      <c r="B43" t="s">
        <v>15</v>
      </c>
      <c r="C43" s="8">
        <v>4801825</v>
      </c>
      <c r="D43" s="8">
        <v>329537</v>
      </c>
      <c r="E43" s="8">
        <v>24</v>
      </c>
    </row>
    <row r="44" spans="1:5" x14ac:dyDescent="0.3">
      <c r="A44" t="s">
        <v>37</v>
      </c>
      <c r="B44" t="s">
        <v>9</v>
      </c>
      <c r="C44" s="8">
        <v>1120338</v>
      </c>
      <c r="D44" s="8">
        <v>115323</v>
      </c>
      <c r="E44" s="8">
        <v>16</v>
      </c>
    </row>
    <row r="45" spans="1:5" x14ac:dyDescent="0.3">
      <c r="A45" t="s">
        <v>37</v>
      </c>
      <c r="B45" t="s">
        <v>15</v>
      </c>
      <c r="C45" s="8">
        <v>1120338</v>
      </c>
      <c r="D45" s="8">
        <v>93392</v>
      </c>
      <c r="E45" s="8">
        <v>16</v>
      </c>
    </row>
    <row r="46" spans="1:5" x14ac:dyDescent="0.3">
      <c r="A46" t="s">
        <v>38</v>
      </c>
      <c r="B46" t="s">
        <v>9</v>
      </c>
      <c r="C46" s="8">
        <v>7897432</v>
      </c>
      <c r="D46" s="8">
        <v>861892</v>
      </c>
      <c r="E46" s="8">
        <v>83</v>
      </c>
    </row>
    <row r="47" spans="1:5" x14ac:dyDescent="0.3">
      <c r="A47" t="s">
        <v>38</v>
      </c>
      <c r="B47" t="s">
        <v>15</v>
      </c>
      <c r="C47" s="8">
        <v>7897432</v>
      </c>
      <c r="D47" s="8">
        <v>594530</v>
      </c>
      <c r="E47" s="8">
        <v>83</v>
      </c>
    </row>
    <row r="48" spans="1:5" x14ac:dyDescent="0.3">
      <c r="A48" t="s">
        <v>39</v>
      </c>
      <c r="B48" t="s">
        <v>9</v>
      </c>
      <c r="C48" s="8">
        <v>4389823</v>
      </c>
      <c r="D48" s="8">
        <v>408460</v>
      </c>
      <c r="E48" s="8">
        <v>87</v>
      </c>
    </row>
    <row r="49" spans="1:5" x14ac:dyDescent="0.3">
      <c r="A49" t="s">
        <v>39</v>
      </c>
      <c r="B49" t="s">
        <v>15</v>
      </c>
      <c r="C49" s="8">
        <v>4389823</v>
      </c>
      <c r="D49" s="8">
        <v>315568</v>
      </c>
      <c r="E49" s="8">
        <v>87</v>
      </c>
    </row>
    <row r="50" spans="1:5" x14ac:dyDescent="0.3">
      <c r="A50" t="s">
        <v>40</v>
      </c>
      <c r="B50" t="s">
        <v>9</v>
      </c>
      <c r="C50" s="8">
        <v>4783630</v>
      </c>
      <c r="D50" s="8">
        <v>558427</v>
      </c>
      <c r="E50" s="8">
        <v>115</v>
      </c>
    </row>
    <row r="51" spans="1:5" x14ac:dyDescent="0.3">
      <c r="A51" t="s">
        <v>40</v>
      </c>
      <c r="B51" t="s">
        <v>15</v>
      </c>
      <c r="C51" s="8">
        <v>4783630</v>
      </c>
      <c r="D51" s="8">
        <v>358202</v>
      </c>
      <c r="E51" s="8">
        <v>115</v>
      </c>
    </row>
    <row r="52" spans="1:5" x14ac:dyDescent="0.3">
      <c r="A52" t="s">
        <v>41</v>
      </c>
      <c r="B52" t="s">
        <v>9</v>
      </c>
      <c r="C52" s="8">
        <v>2257130</v>
      </c>
      <c r="D52" s="8">
        <v>329089</v>
      </c>
      <c r="E52" s="8">
        <v>82</v>
      </c>
    </row>
    <row r="53" spans="1:5" x14ac:dyDescent="0.3">
      <c r="A53" t="s">
        <v>41</v>
      </c>
      <c r="B53" t="s">
        <v>15</v>
      </c>
      <c r="C53" s="8">
        <v>2257130</v>
      </c>
      <c r="D53" s="8">
        <v>158226</v>
      </c>
      <c r="E53" s="8">
        <v>82</v>
      </c>
    </row>
    <row r="54" spans="1:5" x14ac:dyDescent="0.3">
      <c r="A54" t="s">
        <v>42</v>
      </c>
      <c r="B54" t="s">
        <v>9</v>
      </c>
      <c r="C54" s="8">
        <v>869201</v>
      </c>
      <c r="D54" s="8">
        <v>83667</v>
      </c>
      <c r="E54" s="8">
        <v>56</v>
      </c>
    </row>
    <row r="55" spans="1:5" x14ac:dyDescent="0.3">
      <c r="A55" t="s">
        <v>42</v>
      </c>
      <c r="B55" t="s">
        <v>15</v>
      </c>
      <c r="C55" s="8">
        <v>869201</v>
      </c>
      <c r="D55" s="8">
        <v>67564</v>
      </c>
      <c r="E55" s="8">
        <v>56</v>
      </c>
    </row>
    <row r="56" spans="1:5" x14ac:dyDescent="0.3">
      <c r="A56" t="s">
        <v>43</v>
      </c>
      <c r="B56" t="s">
        <v>9</v>
      </c>
      <c r="C56" s="8">
        <v>8249659</v>
      </c>
      <c r="D56" s="8">
        <v>990755</v>
      </c>
      <c r="E56" s="8">
        <v>100</v>
      </c>
    </row>
    <row r="57" spans="1:5" x14ac:dyDescent="0.3">
      <c r="A57" t="s">
        <v>43</v>
      </c>
      <c r="B57" t="s">
        <v>15</v>
      </c>
      <c r="C57" s="8">
        <v>8249659</v>
      </c>
      <c r="D57" s="8">
        <v>577474</v>
      </c>
      <c r="E57" s="8">
        <v>100</v>
      </c>
    </row>
    <row r="58" spans="1:5" x14ac:dyDescent="0.3">
      <c r="A58" t="s">
        <v>44</v>
      </c>
      <c r="B58" t="s">
        <v>9</v>
      </c>
      <c r="C58" s="8">
        <v>589247</v>
      </c>
      <c r="D58" s="8">
        <v>55238</v>
      </c>
      <c r="E58" s="8">
        <v>53</v>
      </c>
    </row>
    <row r="59" spans="1:5" x14ac:dyDescent="0.3">
      <c r="A59" t="s">
        <v>44</v>
      </c>
      <c r="B59" t="s">
        <v>15</v>
      </c>
      <c r="C59" s="8">
        <v>589247</v>
      </c>
      <c r="D59" s="8">
        <v>42058</v>
      </c>
      <c r="E59" s="8">
        <v>53</v>
      </c>
    </row>
    <row r="60" spans="1:5" x14ac:dyDescent="0.3">
      <c r="A60" t="s">
        <v>45</v>
      </c>
      <c r="B60" t="s">
        <v>9</v>
      </c>
      <c r="C60" s="8">
        <v>1480808</v>
      </c>
      <c r="D60" s="8">
        <v>146641</v>
      </c>
      <c r="E60" s="8">
        <v>93</v>
      </c>
    </row>
    <row r="61" spans="1:5" x14ac:dyDescent="0.3">
      <c r="A61" t="s">
        <v>45</v>
      </c>
      <c r="B61" t="s">
        <v>15</v>
      </c>
      <c r="C61" s="8">
        <v>1480808</v>
      </c>
      <c r="D61" s="8">
        <v>103078</v>
      </c>
      <c r="E61" s="8">
        <v>93</v>
      </c>
    </row>
    <row r="62" spans="1:5" x14ac:dyDescent="0.3">
      <c r="A62" t="s">
        <v>46</v>
      </c>
      <c r="B62" t="s">
        <v>9</v>
      </c>
      <c r="C62" s="8">
        <v>1132616</v>
      </c>
      <c r="D62" s="8">
        <v>102219</v>
      </c>
      <c r="E62" s="8">
        <v>10</v>
      </c>
    </row>
    <row r="63" spans="1:5" x14ac:dyDescent="0.3">
      <c r="A63" t="s">
        <v>46</v>
      </c>
      <c r="B63" t="s">
        <v>15</v>
      </c>
      <c r="C63" s="8">
        <v>1132616</v>
      </c>
      <c r="D63" s="8">
        <v>88354</v>
      </c>
      <c r="E63" s="8">
        <v>10</v>
      </c>
    </row>
    <row r="64" spans="1:5" x14ac:dyDescent="0.3">
      <c r="A64" t="s">
        <v>47</v>
      </c>
      <c r="B64" t="s">
        <v>9</v>
      </c>
      <c r="C64" s="8">
        <v>7244002</v>
      </c>
      <c r="D64" s="8">
        <v>766496</v>
      </c>
      <c r="E64" s="8">
        <v>21</v>
      </c>
    </row>
    <row r="65" spans="1:5" x14ac:dyDescent="0.3">
      <c r="A65" t="s">
        <v>47</v>
      </c>
      <c r="B65" t="s">
        <v>15</v>
      </c>
      <c r="C65" s="8">
        <v>7244002</v>
      </c>
      <c r="D65" s="8">
        <v>499172</v>
      </c>
      <c r="E65" s="8">
        <v>21</v>
      </c>
    </row>
    <row r="66" spans="1:5" x14ac:dyDescent="0.3">
      <c r="A66" t="s">
        <v>48</v>
      </c>
      <c r="B66" t="s">
        <v>9</v>
      </c>
      <c r="C66" s="8">
        <v>1642656</v>
      </c>
      <c r="D66" s="8">
        <v>215053</v>
      </c>
      <c r="E66" s="8">
        <v>33</v>
      </c>
    </row>
    <row r="67" spans="1:5" x14ac:dyDescent="0.3">
      <c r="A67" t="s">
        <v>48</v>
      </c>
      <c r="B67" t="s">
        <v>15</v>
      </c>
      <c r="C67" s="8">
        <v>1642656</v>
      </c>
      <c r="D67" s="8">
        <v>109254</v>
      </c>
      <c r="E67" s="8">
        <v>33</v>
      </c>
    </row>
    <row r="68" spans="1:5" x14ac:dyDescent="0.3">
      <c r="A68" t="s">
        <v>49</v>
      </c>
      <c r="B68" t="s">
        <v>9</v>
      </c>
      <c r="C68" s="8">
        <v>2445243</v>
      </c>
      <c r="D68" s="8">
        <v>287775</v>
      </c>
      <c r="E68" s="8">
        <v>17</v>
      </c>
    </row>
    <row r="69" spans="1:5" x14ac:dyDescent="0.3">
      <c r="A69" t="s">
        <v>49</v>
      </c>
      <c r="B69" t="s">
        <v>15</v>
      </c>
      <c r="C69" s="8">
        <v>2445243</v>
      </c>
      <c r="D69" s="8">
        <v>160469</v>
      </c>
      <c r="E69" s="8">
        <v>17</v>
      </c>
    </row>
    <row r="70" spans="1:5" x14ac:dyDescent="0.3">
      <c r="A70" t="s">
        <v>50</v>
      </c>
      <c r="B70" t="s">
        <v>9</v>
      </c>
      <c r="C70" s="8">
        <v>15722590</v>
      </c>
      <c r="D70" s="8">
        <v>1845866</v>
      </c>
      <c r="E70" s="8">
        <v>62</v>
      </c>
    </row>
    <row r="71" spans="1:5" x14ac:dyDescent="0.3">
      <c r="A71" t="s">
        <v>50</v>
      </c>
      <c r="B71" t="s">
        <v>15</v>
      </c>
      <c r="C71" s="8">
        <v>15722590</v>
      </c>
      <c r="D71" s="8">
        <v>1070039</v>
      </c>
      <c r="E71" s="8">
        <v>62</v>
      </c>
    </row>
    <row r="72" spans="1:5" x14ac:dyDescent="0.3">
      <c r="A72" t="s">
        <v>51</v>
      </c>
      <c r="B72" t="s">
        <v>9</v>
      </c>
      <c r="C72" s="8">
        <v>9174388</v>
      </c>
      <c r="D72" s="8">
        <v>1154769</v>
      </c>
      <c r="E72" s="8">
        <v>88</v>
      </c>
    </row>
    <row r="73" spans="1:5" x14ac:dyDescent="0.3">
      <c r="A73" t="s">
        <v>51</v>
      </c>
      <c r="B73" t="s">
        <v>15</v>
      </c>
      <c r="C73" s="8">
        <v>9174388</v>
      </c>
      <c r="D73" s="8">
        <v>692208</v>
      </c>
      <c r="E73" s="8">
        <v>88</v>
      </c>
    </row>
    <row r="74" spans="1:5" x14ac:dyDescent="0.3">
      <c r="A74" t="s">
        <v>52</v>
      </c>
      <c r="B74" t="s">
        <v>9</v>
      </c>
      <c r="C74" s="8">
        <v>3025109</v>
      </c>
      <c r="D74" s="8">
        <v>383615</v>
      </c>
      <c r="E74" s="8">
        <v>77</v>
      </c>
    </row>
    <row r="75" spans="1:5" x14ac:dyDescent="0.3">
      <c r="A75" t="s">
        <v>52</v>
      </c>
      <c r="B75" t="s">
        <v>15</v>
      </c>
      <c r="C75" s="8">
        <v>3025109</v>
      </c>
      <c r="D75" s="8">
        <v>213690</v>
      </c>
      <c r="E75" s="8">
        <v>77</v>
      </c>
    </row>
    <row r="76" spans="1:5" x14ac:dyDescent="0.3">
      <c r="A76" t="s">
        <v>53</v>
      </c>
      <c r="B76" t="s">
        <v>9</v>
      </c>
      <c r="C76" s="8">
        <v>3384804</v>
      </c>
      <c r="D76" s="8">
        <v>335814</v>
      </c>
      <c r="E76" s="8">
        <v>36</v>
      </c>
    </row>
    <row r="77" spans="1:5" x14ac:dyDescent="0.3">
      <c r="A77" t="s">
        <v>53</v>
      </c>
      <c r="B77" t="s">
        <v>15</v>
      </c>
      <c r="C77" s="8">
        <v>3384804</v>
      </c>
      <c r="D77" s="8">
        <v>251933</v>
      </c>
      <c r="E77" s="8">
        <v>36</v>
      </c>
    </row>
    <row r="78" spans="1:5" x14ac:dyDescent="0.3">
      <c r="A78" t="s">
        <v>54</v>
      </c>
      <c r="B78" t="s">
        <v>9</v>
      </c>
      <c r="C78" s="8">
        <v>10290047</v>
      </c>
      <c r="D78" s="8">
        <v>1098760</v>
      </c>
      <c r="E78" s="8">
        <v>67</v>
      </c>
    </row>
    <row r="79" spans="1:5" x14ac:dyDescent="0.3">
      <c r="A79" t="s">
        <v>54</v>
      </c>
      <c r="B79" t="s">
        <v>15</v>
      </c>
      <c r="C79" s="8">
        <v>10290047</v>
      </c>
      <c r="D79" s="8">
        <v>780470</v>
      </c>
      <c r="E79" s="8">
        <v>67</v>
      </c>
    </row>
    <row r="80" spans="1:5" x14ac:dyDescent="0.3">
      <c r="A80" t="s">
        <v>55</v>
      </c>
      <c r="B80" t="s">
        <v>9</v>
      </c>
      <c r="C80" s="8">
        <v>886783</v>
      </c>
      <c r="D80" s="8">
        <v>89969</v>
      </c>
      <c r="E80" s="8">
        <v>5</v>
      </c>
    </row>
    <row r="81" spans="1:5" x14ac:dyDescent="0.3">
      <c r="A81" t="s">
        <v>55</v>
      </c>
      <c r="B81" t="s">
        <v>15</v>
      </c>
      <c r="C81" s="8">
        <v>886783</v>
      </c>
      <c r="D81" s="8">
        <v>63802</v>
      </c>
      <c r="E81" s="8">
        <v>5</v>
      </c>
    </row>
    <row r="82" spans="1:5" x14ac:dyDescent="0.3">
      <c r="A82" t="s">
        <v>56</v>
      </c>
      <c r="B82" t="s">
        <v>9</v>
      </c>
      <c r="C82" s="8">
        <v>4073613</v>
      </c>
      <c r="D82" s="8">
        <v>538976</v>
      </c>
      <c r="E82" s="8">
        <v>46</v>
      </c>
    </row>
    <row r="83" spans="1:5" x14ac:dyDescent="0.3">
      <c r="A83" t="s">
        <v>56</v>
      </c>
      <c r="B83" t="s">
        <v>15</v>
      </c>
      <c r="C83" s="8">
        <v>4073613</v>
      </c>
      <c r="D83" s="8">
        <v>299308</v>
      </c>
      <c r="E83" s="8">
        <v>46</v>
      </c>
    </row>
    <row r="84" spans="1:5" x14ac:dyDescent="0.3">
      <c r="A84" t="s">
        <v>57</v>
      </c>
      <c r="B84" t="s">
        <v>9</v>
      </c>
      <c r="C84" s="8">
        <v>674947</v>
      </c>
      <c r="D84" s="8">
        <v>68904</v>
      </c>
      <c r="E84" s="8">
        <v>66</v>
      </c>
    </row>
    <row r="85" spans="1:5" x14ac:dyDescent="0.3">
      <c r="A85" t="s">
        <v>57</v>
      </c>
      <c r="B85" t="s">
        <v>15</v>
      </c>
      <c r="C85" s="8">
        <v>674947</v>
      </c>
      <c r="D85" s="8">
        <v>51002</v>
      </c>
      <c r="E85" s="8">
        <v>66</v>
      </c>
    </row>
    <row r="86" spans="1:5" x14ac:dyDescent="0.3">
      <c r="A86" t="s">
        <v>58</v>
      </c>
      <c r="B86" t="s">
        <v>9</v>
      </c>
      <c r="C86" s="8">
        <v>5434544</v>
      </c>
      <c r="D86" s="8">
        <v>707837</v>
      </c>
      <c r="E86" s="8">
        <v>95</v>
      </c>
    </row>
    <row r="87" spans="1:5" x14ac:dyDescent="0.3">
      <c r="A87" t="s">
        <v>58</v>
      </c>
      <c r="B87" t="s">
        <v>15</v>
      </c>
      <c r="C87" s="8">
        <v>5434544</v>
      </c>
      <c r="D87" s="8">
        <v>390138</v>
      </c>
      <c r="E87" s="8">
        <v>95</v>
      </c>
    </row>
    <row r="88" spans="1:5" x14ac:dyDescent="0.3">
      <c r="A88" t="s">
        <v>59</v>
      </c>
      <c r="B88" t="s">
        <v>9</v>
      </c>
      <c r="C88" s="8">
        <v>22052508</v>
      </c>
      <c r="D88" s="8">
        <v>2671379</v>
      </c>
      <c r="E88" s="8">
        <v>254</v>
      </c>
    </row>
    <row r="89" spans="1:5" x14ac:dyDescent="0.3">
      <c r="A89" t="s">
        <v>59</v>
      </c>
      <c r="B89" t="s">
        <v>15</v>
      </c>
      <c r="C89" s="8">
        <v>22052508</v>
      </c>
      <c r="D89" s="8">
        <v>1277497</v>
      </c>
      <c r="E89" s="8">
        <v>254</v>
      </c>
    </row>
    <row r="90" spans="1:5" x14ac:dyDescent="0.3">
      <c r="A90" t="s">
        <v>60</v>
      </c>
      <c r="B90" t="s">
        <v>9</v>
      </c>
      <c r="C90" s="8">
        <v>2390732</v>
      </c>
      <c r="D90" s="8">
        <v>202645</v>
      </c>
      <c r="E90" s="8">
        <v>29</v>
      </c>
    </row>
    <row r="91" spans="1:5" x14ac:dyDescent="0.3">
      <c r="A91" t="s">
        <v>60</v>
      </c>
      <c r="B91" t="s">
        <v>15</v>
      </c>
      <c r="C91" s="8">
        <v>2390732</v>
      </c>
      <c r="D91" s="8">
        <v>143123</v>
      </c>
      <c r="E91" s="8">
        <v>29</v>
      </c>
    </row>
    <row r="92" spans="1:5" x14ac:dyDescent="0.3">
      <c r="A92" t="s">
        <v>61</v>
      </c>
      <c r="B92" t="s">
        <v>9</v>
      </c>
      <c r="C92" s="8">
        <v>6757448</v>
      </c>
      <c r="D92" s="8">
        <v>752097</v>
      </c>
      <c r="E92" s="8">
        <v>133</v>
      </c>
    </row>
    <row r="93" spans="1:5" x14ac:dyDescent="0.3">
      <c r="A93" t="s">
        <v>61</v>
      </c>
      <c r="B93" t="s">
        <v>15</v>
      </c>
      <c r="C93" s="8">
        <v>6757448</v>
      </c>
      <c r="D93" s="8">
        <v>462165</v>
      </c>
      <c r="E93" s="8">
        <v>133</v>
      </c>
    </row>
    <row r="94" spans="1:5" x14ac:dyDescent="0.3">
      <c r="A94" t="s">
        <v>62</v>
      </c>
      <c r="B94" t="s">
        <v>9</v>
      </c>
      <c r="C94" s="8">
        <v>528594</v>
      </c>
      <c r="D94" s="8">
        <v>46185</v>
      </c>
      <c r="E94" s="8">
        <v>14</v>
      </c>
    </row>
    <row r="95" spans="1:5" x14ac:dyDescent="0.3">
      <c r="A95" t="s">
        <v>62</v>
      </c>
      <c r="B95" t="s">
        <v>15</v>
      </c>
      <c r="C95" s="8">
        <v>528594</v>
      </c>
      <c r="D95" s="8">
        <v>41700</v>
      </c>
      <c r="E95" s="8">
        <v>14</v>
      </c>
    </row>
    <row r="96" spans="1:5" x14ac:dyDescent="0.3">
      <c r="A96" t="s">
        <v>63</v>
      </c>
      <c r="B96" t="s">
        <v>9</v>
      </c>
      <c r="C96" s="8">
        <v>6062570</v>
      </c>
      <c r="D96" s="8">
        <v>558613</v>
      </c>
      <c r="E96" s="8">
        <v>39</v>
      </c>
    </row>
    <row r="97" spans="1:5" x14ac:dyDescent="0.3">
      <c r="A97" t="s">
        <v>63</v>
      </c>
      <c r="B97" t="s">
        <v>15</v>
      </c>
      <c r="C97" s="8">
        <v>6062570</v>
      </c>
      <c r="D97" s="8">
        <v>418599</v>
      </c>
      <c r="E97" s="8">
        <v>39</v>
      </c>
    </row>
    <row r="98" spans="1:5" x14ac:dyDescent="0.3">
      <c r="A98" t="s">
        <v>64</v>
      </c>
      <c r="B98" t="s">
        <v>9</v>
      </c>
      <c r="C98" s="8">
        <v>4621152</v>
      </c>
      <c r="D98" s="8">
        <v>435925</v>
      </c>
      <c r="E98" s="8">
        <v>72</v>
      </c>
    </row>
    <row r="99" spans="1:5" x14ac:dyDescent="0.3">
      <c r="A99" t="s">
        <v>64</v>
      </c>
      <c r="B99" t="s">
        <v>15</v>
      </c>
      <c r="C99" s="8">
        <v>4621152</v>
      </c>
      <c r="D99" s="8">
        <v>349525</v>
      </c>
      <c r="E99" s="8">
        <v>72</v>
      </c>
    </row>
    <row r="100" spans="1:5" x14ac:dyDescent="0.3">
      <c r="A100" t="s">
        <v>65</v>
      </c>
      <c r="B100" t="s">
        <v>9</v>
      </c>
      <c r="C100" s="8">
        <v>1423928</v>
      </c>
      <c r="D100" s="8">
        <v>208693</v>
      </c>
      <c r="E100" s="8">
        <v>55</v>
      </c>
    </row>
    <row r="101" spans="1:5" x14ac:dyDescent="0.3">
      <c r="A101" t="s">
        <v>65</v>
      </c>
      <c r="B101" t="s">
        <v>15</v>
      </c>
      <c r="C101" s="8">
        <v>1423928</v>
      </c>
      <c r="D101" s="8">
        <v>114074</v>
      </c>
      <c r="E101" s="8">
        <v>55</v>
      </c>
    </row>
    <row r="102" spans="1:5" x14ac:dyDescent="0.3">
      <c r="A102" t="s">
        <v>66</v>
      </c>
      <c r="B102" t="s">
        <v>9</v>
      </c>
      <c r="C102" s="8">
        <v>446379</v>
      </c>
      <c r="D102" s="8">
        <v>43072</v>
      </c>
      <c r="E102" s="8">
        <v>23</v>
      </c>
    </row>
    <row r="103" spans="1:5" x14ac:dyDescent="0.3">
      <c r="A103" t="s">
        <v>66</v>
      </c>
      <c r="B103" t="s">
        <v>15</v>
      </c>
      <c r="C103" s="8">
        <v>446379</v>
      </c>
      <c r="D103" s="8">
        <v>33273</v>
      </c>
      <c r="E103" s="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Read me</vt:lpstr>
      <vt:lpstr>Inputs</vt:lpstr>
      <vt:lpstr>Sizing</vt:lpstr>
      <vt:lpstr>States</vt:lpstr>
      <vt:lpstr>Checks</vt:lpstr>
      <vt:lpstr>Data</vt:lpstr>
      <vt:lpstr>State facts</vt:lpstr>
      <vt:lpstr>Capacity</vt:lpstr>
      <vt:lpstr>d_fr</vt:lpstr>
      <vt:lpstr>d_prov</vt:lpstr>
      <vt:lpstr>d_seg</vt:lpstr>
      <vt:lpstr>d_state</vt:lpstr>
      <vt:lpstr>d_work</vt:lpstr>
      <vt:lpstr>Franchise</vt:lpstr>
      <vt:lpstr>s_adults</vt:lpstr>
      <vt:lpstr>s_fr</vt:lpstr>
      <vt:lpstr>s_patients</vt:lpstr>
      <vt:lpstr>s_state</vt:lpstr>
      <vt:lpstr>seg_calls</vt:lpstr>
      <vt:lpstr>seg_names</vt:lpstr>
      <vt:lpstr>seg_share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Field Force Sizing Model</dc:title>
  <dc:creator>Mohammad Uzair Khan</dc:creator>
  <dc:description>Providers from the CMS NPPES registry (October 2026 file); no prescribing data.</dc:description>
  <cp:lastModifiedBy>Mohammad Uzair Khan</cp:lastModifiedBy>
  <dcterms:created xsi:type="dcterms:W3CDTF">2026-10-18T12:56:15Z</dcterms:created>
  <dcterms:modified xsi:type="dcterms:W3CDTF">2026-10-18T12:56:18Z</dcterms:modified>
</cp:coreProperties>
</file>